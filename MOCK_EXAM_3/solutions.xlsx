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EXAMS\MOCK_EXAM_3\"/>
    </mc:Choice>
  </mc:AlternateContent>
  <xr:revisionPtr revIDLastSave="0" documentId="13_ncr:1_{FADFDB59-0DF1-4745-966C-B551D28D97FA}" xr6:coauthVersionLast="47" xr6:coauthVersionMax="47" xr10:uidLastSave="{00000000-0000-0000-0000-000000000000}"/>
  <bookViews>
    <workbookView xWindow="-120" yWindow="-120" windowWidth="20730" windowHeight="11160" tabRatio="185" xr2:uid="{00000000-000D-0000-FFFF-FFFF00000000}"/>
  </bookViews>
  <sheets>
    <sheet name="TASKS" sheetId="3" r:id="rId1"/>
  </sheets>
  <definedNames>
    <definedName name="Category">#REF!</definedName>
    <definedName name="Customer_Segment">#REF!</definedName>
    <definedName name="Discount">#REF!</definedName>
    <definedName name="ID">#REF!</definedName>
    <definedName name="Month">#REF!</definedName>
    <definedName name="Product">#REF!</definedName>
    <definedName name="Rating">#REF!</definedName>
    <definedName name="Region">#REF!</definedName>
    <definedName name="Remarks">#REF!</definedName>
    <definedName name="Revenue">#REF!</definedName>
    <definedName name="SalesData">#REF!</definedName>
    <definedName name="Salesperson">#REF!</definedName>
    <definedName name="Unit_Price">#REF!</definedName>
    <definedName name="Units_Sol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3" l="1"/>
  <c r="AL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2" i="3"/>
  <c r="AJ2" i="3"/>
  <c r="AI2" i="3"/>
  <c r="AH2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2" i="3"/>
  <c r="AF2" i="3"/>
  <c r="AE2" i="3"/>
  <c r="AD2" i="3"/>
  <c r="AC2" i="3"/>
  <c r="AB2" i="3" a="1"/>
  <c r="AB2" i="3" s="1"/>
  <c r="AA2" i="3"/>
  <c r="Z2" i="3"/>
  <c r="Y2" i="3"/>
  <c r="X3" i="3" a="1"/>
  <c r="X3" i="3" s="1"/>
  <c r="X4" i="3" a="1"/>
  <c r="X4" i="3" s="1"/>
  <c r="X5" i="3" a="1"/>
  <c r="X5" i="3" s="1"/>
  <c r="X6" i="3" a="1"/>
  <c r="X6" i="3" s="1"/>
  <c r="X7" i="3" a="1"/>
  <c r="X7" i="3" s="1"/>
  <c r="X8" i="3" a="1"/>
  <c r="X8" i="3" s="1"/>
  <c r="X9" i="3" a="1"/>
  <c r="X9" i="3" s="1"/>
  <c r="X10" i="3" a="1"/>
  <c r="X10" i="3" s="1"/>
  <c r="X11" i="3" a="1"/>
  <c r="X11" i="3" s="1"/>
  <c r="X12" i="3" a="1"/>
  <c r="X12" i="3" s="1"/>
  <c r="X13" i="3" a="1"/>
  <c r="X13" i="3" s="1"/>
  <c r="X14" i="3" a="1"/>
  <c r="X14" i="3" s="1"/>
  <c r="X15" i="3" a="1"/>
  <c r="X15" i="3" s="1"/>
  <c r="X16" i="3" a="1"/>
  <c r="X16" i="3" s="1"/>
  <c r="X17" i="3" a="1"/>
  <c r="X17" i="3" s="1"/>
  <c r="X18" i="3" a="1"/>
  <c r="X18" i="3" s="1"/>
  <c r="X19" i="3" a="1"/>
  <c r="X19" i="3" s="1"/>
  <c r="X20" i="3" a="1"/>
  <c r="X20" i="3" s="1"/>
  <c r="X21" i="3" a="1"/>
  <c r="X21" i="3" s="1"/>
  <c r="X22" i="3" a="1"/>
  <c r="X22" i="3" s="1"/>
  <c r="X23" i="3" a="1"/>
  <c r="X23" i="3" s="1"/>
  <c r="X24" i="3" a="1"/>
  <c r="X24" i="3" s="1"/>
  <c r="X25" i="3" a="1"/>
  <c r="X25" i="3" s="1"/>
  <c r="X26" i="3" a="1"/>
  <c r="X26" i="3" s="1"/>
  <c r="X27" i="3" a="1"/>
  <c r="X27" i="3" s="1"/>
  <c r="X28" i="3" a="1"/>
  <c r="X28" i="3" s="1"/>
  <c r="X29" i="3" a="1"/>
  <c r="X29" i="3" s="1"/>
  <c r="X30" i="3" a="1"/>
  <c r="X30" i="3" s="1"/>
  <c r="X31" i="3" a="1"/>
  <c r="X31" i="3" s="1"/>
  <c r="X32" i="3" a="1"/>
  <c r="X32" i="3" s="1"/>
  <c r="X33" i="3" a="1"/>
  <c r="X33" i="3" s="1"/>
  <c r="X34" i="3" a="1"/>
  <c r="X34" i="3" s="1"/>
  <c r="X35" i="3" a="1"/>
  <c r="X35" i="3" s="1"/>
  <c r="X36" i="3" a="1"/>
  <c r="X36" i="3" s="1"/>
  <c r="X37" i="3" a="1"/>
  <c r="X37" i="3" s="1"/>
  <c r="X38" i="3" a="1"/>
  <c r="X38" i="3" s="1"/>
  <c r="X39" i="3" a="1"/>
  <c r="X39" i="3" s="1"/>
  <c r="X40" i="3" a="1"/>
  <c r="X40" i="3" s="1"/>
  <c r="X41" i="3" a="1"/>
  <c r="X41" i="3" s="1"/>
  <c r="X42" i="3" a="1"/>
  <c r="X42" i="3" s="1"/>
  <c r="X43" i="3" a="1"/>
  <c r="X43" i="3" s="1"/>
  <c r="X44" i="3" a="1"/>
  <c r="X44" i="3" s="1"/>
  <c r="X45" i="3" a="1"/>
  <c r="X45" i="3" s="1"/>
  <c r="X46" i="3" a="1"/>
  <c r="X46" i="3" s="1"/>
  <c r="X47" i="3" a="1"/>
  <c r="X47" i="3" s="1"/>
  <c r="X48" i="3" a="1"/>
  <c r="X48" i="3" s="1"/>
  <c r="X49" i="3" a="1"/>
  <c r="X49" i="3" s="1"/>
  <c r="X50" i="3" a="1"/>
  <c r="X50" i="3" s="1"/>
  <c r="X51" i="3" a="1"/>
  <c r="X51" i="3" s="1"/>
  <c r="X2" i="3" a="1"/>
  <c r="X2" i="3" s="1"/>
  <c r="W2" i="3"/>
  <c r="V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2" i="3"/>
  <c r="S2" i="3"/>
  <c r="R2" i="3"/>
  <c r="Q2" i="3"/>
  <c r="P2" i="3" a="1"/>
  <c r="P2" i="3" s="1"/>
  <c r="O2" i="3"/>
  <c r="N2" i="3"/>
  <c r="M2" i="3"/>
  <c r="L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<sst xmlns="http://schemas.openxmlformats.org/spreadsheetml/2006/main" count="337" uniqueCount="115">
  <si>
    <t>Region</t>
  </si>
  <si>
    <t>Product</t>
  </si>
  <si>
    <t>Month</t>
  </si>
  <si>
    <t>Units_Sold</t>
  </si>
  <si>
    <t>Revenue</t>
  </si>
  <si>
    <t>Customer_Segment</t>
  </si>
  <si>
    <t>Rating</t>
  </si>
  <si>
    <t>South</t>
  </si>
  <si>
    <t>East</t>
  </si>
  <si>
    <t>North</t>
  </si>
  <si>
    <t>West</t>
  </si>
  <si>
    <t>Monitor</t>
  </si>
  <si>
    <t>Laptop</t>
  </si>
  <si>
    <t>Printer</t>
  </si>
  <si>
    <t>Tablet</t>
  </si>
  <si>
    <t>May</t>
  </si>
  <si>
    <t>Corporate</t>
  </si>
  <si>
    <t>Employee</t>
  </si>
  <si>
    <t>Department</t>
  </si>
  <si>
    <t>Alice Brown</t>
  </si>
  <si>
    <t>Sales</t>
  </si>
  <si>
    <t>January</t>
  </si>
  <si>
    <t>Mark Green</t>
  </si>
  <si>
    <t>Consumer</t>
  </si>
  <si>
    <t>John Smith</t>
  </si>
  <si>
    <t>HR</t>
  </si>
  <si>
    <t>Headphones</t>
  </si>
  <si>
    <t>Home Office</t>
  </si>
  <si>
    <t>February</t>
  </si>
  <si>
    <t>Mary Jones</t>
  </si>
  <si>
    <t>IT</t>
  </si>
  <si>
    <t>March</t>
  </si>
  <si>
    <t>Tom White</t>
  </si>
  <si>
    <t>Finance</t>
  </si>
  <si>
    <t>Emily Clark</t>
  </si>
  <si>
    <t>April</t>
  </si>
  <si>
    <t>Daniel Lewis</t>
  </si>
  <si>
    <t>Laura Scott</t>
  </si>
  <si>
    <t>Kevin Turner</t>
  </si>
  <si>
    <t>Rachel Adams</t>
  </si>
  <si>
    <t>Chris Evans</t>
  </si>
  <si>
    <t>June</t>
  </si>
  <si>
    <t>Sarah Lee</t>
  </si>
  <si>
    <t>Paul Walker</t>
  </si>
  <si>
    <t>July</t>
  </si>
  <si>
    <t>Nancy Hill</t>
  </si>
  <si>
    <t>Adam King</t>
  </si>
  <si>
    <t>Olivia Reed</t>
  </si>
  <si>
    <t>August</t>
  </si>
  <si>
    <t>Ethan Hall</t>
  </si>
  <si>
    <t>Megan Ross</t>
  </si>
  <si>
    <t>Jason Fox</t>
  </si>
  <si>
    <t>September</t>
  </si>
  <si>
    <t>Linda Gray</t>
  </si>
  <si>
    <t>Peter Wood</t>
  </si>
  <si>
    <t>Julia Price</t>
  </si>
  <si>
    <t>October</t>
  </si>
  <si>
    <t>Brian Bell</t>
  </si>
  <si>
    <t>Chloe Ward</t>
  </si>
  <si>
    <t>Alex Young</t>
  </si>
  <si>
    <t>November</t>
  </si>
  <si>
    <t>Sophie Cook</t>
  </si>
  <si>
    <t>George Reed</t>
  </si>
  <si>
    <t>Victoria Cox</t>
  </si>
  <si>
    <t>Henry Ross</t>
  </si>
  <si>
    <t>December</t>
  </si>
  <si>
    <t>Emma Stone</t>
  </si>
  <si>
    <t>Michael Ford</t>
  </si>
  <si>
    <t>Natalie Cole</t>
  </si>
  <si>
    <t>Ben Adams</t>
  </si>
  <si>
    <t>Carla James</t>
  </si>
  <si>
    <t>Oliver Scott</t>
  </si>
  <si>
    <t>Grace Hill</t>
  </si>
  <si>
    <t>Samuel Reed</t>
  </si>
  <si>
    <t>Ella Turner</t>
  </si>
  <si>
    <t>Robert King</t>
  </si>
  <si>
    <t>Hannah Lee</t>
  </si>
  <si>
    <t>Jake Brown</t>
  </si>
  <si>
    <t>Lily Evans</t>
  </si>
  <si>
    <t>Daniel Price</t>
  </si>
  <si>
    <t>Mia Walker</t>
  </si>
  <si>
    <t>Noah Scott</t>
  </si>
  <si>
    <t>Ava Gray</t>
  </si>
  <si>
    <t>Jack Ward</t>
  </si>
  <si>
    <t>Lily Parker</t>
  </si>
  <si>
    <t>Oscar Hill</t>
  </si>
  <si>
    <t>Zoe King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</si>
  <si>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</si>
  <si>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</si>
  <si>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</si>
  <si>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</si>
  <si>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</si>
  <si>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</si>
  <si>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</si>
  <si>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</si>
  <si>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</si>
  <si>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</si>
  <si>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TASK 11</t>
  </si>
  <si>
    <t>TASK 12</t>
  </si>
  <si>
    <t>TASK 13</t>
  </si>
  <si>
    <t>TASK 14</t>
  </si>
  <si>
    <t>TASK 15</t>
  </si>
  <si>
    <t>TASK 16</t>
  </si>
  <si>
    <t>TASK 17</t>
  </si>
  <si>
    <t>TASK 18</t>
  </si>
  <si>
    <t>TASK 19</t>
  </si>
  <si>
    <t>TASK 21</t>
  </si>
  <si>
    <t>TASK 22</t>
  </si>
  <si>
    <t>TASK 23</t>
  </si>
  <si>
    <t>TASK 24</t>
  </si>
  <si>
    <t>TASK 25</t>
  </si>
  <si>
    <t>TASK 26</t>
  </si>
  <si>
    <t>TASK 27</t>
  </si>
  <si>
    <t>TASK 29</t>
  </si>
  <si>
    <t>TASK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</si>
</sst>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\ &quot;₼&quot;_-;\-* #\ &quot;₼&quot;_-;_-* &quot;-&quot;\ &quot;₼&quot;_-;_-@_-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sz val="11"/>
      <color theme="0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2" borderId="1" xfId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2">
    <cellStyle name="Accent2" xfId="1" builtinId="33"/>
    <cellStyle name="Normal" xfId="0" builtinId="0"/>
  </cellStyles>
  <dxfs count="13"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_-* #\ &quot;₼&quot;_-;\-* #\ &quot;₼&quot;_-;_-* &quot;-&quot;\ &quot;₼&quot;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theme="7"/>
        </patternFill>
      </fill>
    </dxf>
    <dxf>
      <fill>
        <patternFill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E0E04D-1348-478E-9593-9567B3568179}" name="main" displayName="main" ref="A1:I51" totalsRowShown="0" headerRowDxfId="1" dataDxfId="0">
  <autoFilter ref="A1:I51" xr:uid="{5EE0E04D-1348-478E-9593-9567B3568179}"/>
  <tableColumns count="9">
    <tableColumn id="1" xr3:uid="{B93602CD-51C8-4957-AF07-DA2FF1E3768A}" name="Employee" dataDxfId="10"/>
    <tableColumn id="2" xr3:uid="{F3F7DE36-6DFC-4168-AE3E-7366186097AA}" name="Department" dataDxfId="9"/>
    <tableColumn id="3" xr3:uid="{5F7E22E0-300A-4AA4-BAF4-40E0E1ECAACB}" name="Region" dataDxfId="8"/>
    <tableColumn id="4" xr3:uid="{71D0F31E-456B-4FD0-8C91-09FBB2AFE837}" name="Product" dataDxfId="7"/>
    <tableColumn id="5" xr3:uid="{D8473E7E-D01F-4F66-BC43-8596D37ECB76}" name="Units_Sold" dataDxfId="6"/>
    <tableColumn id="6" xr3:uid="{60A5802E-0DB2-4ED2-850E-ACE66A2AFF16}" name="Revenue" dataDxfId="5"/>
    <tableColumn id="7" xr3:uid="{D38B3C2C-EA8D-49C2-A94A-8768BD726BEC}" name="Customer_Segment" dataDxfId="4"/>
    <tableColumn id="8" xr3:uid="{194B5DA1-194A-4FB1-B4CE-24C967F611CF}" name="Month" dataDxfId="3"/>
    <tableColumn id="9" xr3:uid="{BE0FC8E2-8613-464A-A308-EF6966F7BCC3}" name="Rating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C32B-E9F4-41F8-8027-EB11171E971F}">
  <dimension ref="A1:AL51"/>
  <sheetViews>
    <sheetView showGridLines="0" tabSelected="1" zoomScale="70" zoomScaleNormal="70" workbookViewId="0">
      <selection activeCell="G18" sqref="G18"/>
    </sheetView>
  </sheetViews>
  <sheetFormatPr defaultColWidth="9.140625" defaultRowHeight="15"/>
  <cols>
    <col min="1" max="1" width="16" style="3" bestFit="1" customWidth="1"/>
    <col min="2" max="2" width="17.85546875" style="3" bestFit="1" customWidth="1"/>
    <col min="3" max="3" width="13.5703125" style="3" bestFit="1" customWidth="1"/>
    <col min="4" max="4" width="14.28515625" style="3" bestFit="1" customWidth="1"/>
    <col min="5" max="5" width="16.7109375" style="3" bestFit="1" customWidth="1"/>
    <col min="6" max="6" width="15.28515625" style="3" bestFit="1" customWidth="1"/>
    <col min="7" max="7" width="24.5703125" style="3" bestFit="1" customWidth="1"/>
    <col min="8" max="8" width="13.42578125" style="3" bestFit="1" customWidth="1"/>
    <col min="9" max="9" width="13.140625" style="3" bestFit="1" customWidth="1"/>
    <col min="10" max="10" width="9.140625" style="3"/>
    <col min="11" max="11" width="7.7109375" style="3" bestFit="1" customWidth="1"/>
    <col min="12" max="12" width="7.85546875" style="3" bestFit="1" customWidth="1"/>
    <col min="13" max="13" width="7.7109375" style="3" bestFit="1" customWidth="1"/>
    <col min="14" max="14" width="7.140625" style="3" bestFit="1" customWidth="1"/>
    <col min="15" max="15" width="8.5703125" style="3" bestFit="1" customWidth="1"/>
    <col min="16" max="16" width="13.42578125" style="3" bestFit="1" customWidth="1"/>
    <col min="17" max="17" width="9.140625" style="3" bestFit="1" customWidth="1"/>
    <col min="18" max="18" width="7.140625" style="3" bestFit="1" customWidth="1"/>
    <col min="19" max="19" width="11.140625" style="3" bestFit="1" customWidth="1"/>
    <col min="20" max="22" width="8.140625" style="3" bestFit="1" customWidth="1"/>
    <col min="23" max="23" width="11.140625" style="3" bestFit="1" customWidth="1"/>
    <col min="24" max="24" width="9.140625" style="3" bestFit="1" customWidth="1"/>
    <col min="25" max="26" width="8.140625" style="3" bestFit="1" customWidth="1"/>
    <col min="27" max="27" width="11.140625" style="3" bestFit="1" customWidth="1"/>
    <col min="28" max="30" width="8.140625" style="3" bestFit="1" customWidth="1"/>
    <col min="31" max="31" width="11.140625" style="3" bestFit="1" customWidth="1"/>
    <col min="32" max="32" width="8.140625" style="3" bestFit="1" customWidth="1"/>
    <col min="33" max="33" width="13.42578125" style="3" bestFit="1" customWidth="1"/>
    <col min="34" max="34" width="8.140625" style="3" bestFit="1" customWidth="1"/>
    <col min="35" max="35" width="11.140625" style="3" bestFit="1" customWidth="1"/>
    <col min="36" max="36" width="8.140625" style="3" bestFit="1" customWidth="1"/>
    <col min="37" max="37" width="17.85546875" style="3" bestFit="1" customWidth="1"/>
    <col min="38" max="38" width="8.140625" style="3" bestFit="1" customWidth="1"/>
    <col min="39" max="16384" width="9.140625" style="3"/>
  </cols>
  <sheetData>
    <row r="1" spans="1:38">
      <c r="A1" s="1" t="s">
        <v>17</v>
      </c>
      <c r="B1" s="1" t="s">
        <v>18</v>
      </c>
      <c r="C1" s="1" t="s">
        <v>0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2</v>
      </c>
      <c r="I1" s="1" t="s">
        <v>6</v>
      </c>
      <c r="K1" s="7" t="s">
        <v>87</v>
      </c>
      <c r="L1" s="7" t="s">
        <v>88</v>
      </c>
      <c r="M1" s="7" t="s">
        <v>89</v>
      </c>
      <c r="N1" s="7" t="s">
        <v>90</v>
      </c>
      <c r="O1" s="7" t="s">
        <v>91</v>
      </c>
      <c r="P1" s="7" t="s">
        <v>92</v>
      </c>
      <c r="Q1" s="7" t="s">
        <v>93</v>
      </c>
      <c r="R1" s="7" t="s">
        <v>94</v>
      </c>
      <c r="S1" s="7" t="s">
        <v>95</v>
      </c>
      <c r="T1" s="7" t="s">
        <v>96</v>
      </c>
      <c r="U1" s="7" t="s">
        <v>97</v>
      </c>
      <c r="V1" s="7" t="s">
        <v>98</v>
      </c>
      <c r="W1" s="7" t="s">
        <v>99</v>
      </c>
      <c r="X1" s="7" t="s">
        <v>100</v>
      </c>
      <c r="Y1" s="7" t="s">
        <v>101</v>
      </c>
      <c r="Z1" s="7" t="s">
        <v>102</v>
      </c>
      <c r="AA1" s="7" t="s">
        <v>103</v>
      </c>
      <c r="AB1" s="7" t="s">
        <v>104</v>
      </c>
      <c r="AC1" s="7" t="s">
        <v>105</v>
      </c>
      <c r="AD1" s="7" t="s">
        <v>106</v>
      </c>
      <c r="AE1" s="7" t="s">
        <v>107</v>
      </c>
      <c r="AF1" s="7" t="s">
        <v>108</v>
      </c>
      <c r="AG1" s="7" t="s">
        <v>109</v>
      </c>
      <c r="AH1" s="7" t="s">
        <v>110</v>
      </c>
      <c r="AI1" s="7" t="s">
        <v>111</v>
      </c>
      <c r="AJ1" s="7" t="s">
        <v>112</v>
      </c>
      <c r="AK1" s="7" t="s">
        <v>113</v>
      </c>
      <c r="AL1" s="7" t="s">
        <v>114</v>
      </c>
    </row>
    <row r="2" spans="1:38">
      <c r="A2" s="2" t="s">
        <v>19</v>
      </c>
      <c r="B2" s="2" t="s">
        <v>20</v>
      </c>
      <c r="C2" s="2" t="s">
        <v>8</v>
      </c>
      <c r="D2" s="2" t="s">
        <v>12</v>
      </c>
      <c r="E2" s="2">
        <v>12</v>
      </c>
      <c r="F2" s="5">
        <v>9600</v>
      </c>
      <c r="G2" s="2" t="s">
        <v>16</v>
      </c>
      <c r="H2" s="2" t="s">
        <v>21</v>
      </c>
      <c r="I2" s="2">
        <v>4</v>
      </c>
      <c r="K2" s="6" t="str">
        <f>IF(VLOOKUP("Alice Brown",main[],5,FALSE)&gt;10,"Greater","Not")</f>
        <v>Greater</v>
      </c>
      <c r="L2" s="6" t="str">
        <f>PROPER(VLOOKUP("Kevin Turner",main[],2,FALSE))</f>
        <v>Finance</v>
      </c>
      <c r="M2" s="6" t="str">
        <f>IF(AND(VLOOKUP("Ethan Hall",main[],5,FALSE)&gt;10,VLOOKUP("Ethan Hall",main[],9,FALSE)=3),"Bonus","Regular")</f>
        <v>Regular</v>
      </c>
      <c r="N2" s="6">
        <f>COUNTIFS(main[Product],"Tablet",main[Region],"South")</f>
        <v>4</v>
      </c>
      <c r="O2" s="8">
        <f>SUMIFS(main[Revenue],main[Customer_Segment],"Home Office",main[Product],"Headphones")</f>
        <v>5250</v>
      </c>
      <c r="P2" s="6" t="str" cm="1">
        <f t="array" ref="P2:P51">PROPER(CLEAN(TRIM(main[Employee])))</f>
        <v>Alice Brown</v>
      </c>
      <c r="Q2" s="9" t="str">
        <f>IF(VLOOKUP("Emma Stone",main[],6,FALSE)&gt;5000,"High Sale","Regular Sale")</f>
        <v>High Sale</v>
      </c>
      <c r="R2" s="6">
        <f>COUNTIFS(main[Department],"Finance",main[Rating],"&gt;=3",main[Product],"Printer")</f>
        <v>2</v>
      </c>
      <c r="S2" s="10">
        <f>SUMIF(main[Department],"HR",main[Revenue])</f>
        <v>42550</v>
      </c>
      <c r="T2" s="6" t="str">
        <f>IF(OR(main[[#This Row],[Units_Sold]]&gt;15,main[[#This Row],[Rating]]=5),"Star","No Star")</f>
        <v>No Star</v>
      </c>
      <c r="U2" s="6" t="str">
        <f>IF(VLOOKUP("Peter Wood",main[],7,FALSE)="Consumer","Yes","No")</f>
        <v>Yes</v>
      </c>
      <c r="V2" s="6">
        <f>COUNTIFS(main[Customer_Segment],"Corporate",main[Revenue],"&gt;=9000")</f>
        <v>8</v>
      </c>
      <c r="W2" s="10">
        <f>SUMIFS(main[Revenue],main[Department],"IT",main[Product],"Laptop")</f>
        <v>44100</v>
      </c>
      <c r="X2" s="6" t="str" cm="1">
        <f t="array" ref="X2">_xlfn.IFS(main[[#This Row],[Rating]]=5,"Excellent",main[[#This Row],[Rating]]=4,"Good",TRUE,"Average")</f>
        <v>Good</v>
      </c>
      <c r="Y2" s="6" t="str">
        <f>IF(VLOOKUP("Sophie Cook",main[],5,FALSE)&gt;=9,"Top","Bottom")</f>
        <v>Top</v>
      </c>
      <c r="Z2" s="6">
        <f>COUNTIFS(main[Region],"East",main[Product],"Monitor")</f>
        <v>5</v>
      </c>
      <c r="AA2" s="8">
        <f>SUMIFS(main[Revenue],main[Customer_Segment],"Consumer",main[Region],"South")</f>
        <v>15300</v>
      </c>
      <c r="AB2" s="6" t="str" cm="1">
        <f t="array" ref="AB2:AB51">PROPER(main[Region])</f>
        <v>East</v>
      </c>
      <c r="AC2" s="9" t="str">
        <f>IF(VLOOKUP("Jason Fox",main[],8,FALSE)="September","Yes","No")</f>
        <v>Yes</v>
      </c>
      <c r="AD2" s="6">
        <f>COUNTIFS(main[Rating],"&gt;=4",main[Department],"IT")</f>
        <v>10</v>
      </c>
      <c r="AE2" s="10">
        <f>SUMIFS(main[Revenue],main[Product],"Laptop",main[Region],"West")</f>
        <v>25550</v>
      </c>
      <c r="AF2" s="6" t="str">
        <f>IF(VLOOKUP("Victoria Cox",main[],4,FALSE)="Monitor","Yes","No")</f>
        <v>Yes</v>
      </c>
      <c r="AG2" s="6" t="str">
        <f>IF(AND(main[[#This Row],[Revenue]]&gt;9000,main[[#This Row],[Rating]]=5),"Premium Sale","Regular Sale")</f>
        <v>Regular Sale</v>
      </c>
      <c r="AH2" s="6">
        <f>COUNTIFS(main[Department],"Sales",main[Product],"Monitor") + COUNTIFS(main[Department],"Sales",main[Product],"Printer")</f>
        <v>6</v>
      </c>
      <c r="AI2" s="10">
        <f>SUMIFS(main[Revenue],main[Customer_Segment],"Corporate",main[Month],"June")</f>
        <v>15150</v>
      </c>
      <c r="AJ2" s="6" t="str">
        <f>IF(VLOOKUP("George Reed",main[],6,FALSE)&gt;=2000,"OK","Low")</f>
        <v>OK</v>
      </c>
      <c r="AK2" s="6" t="str">
        <f>IF(OR(main[[#This Row],[Units_Sold]]&lt;8,main[[#This Row],[Rating]]&lt;3),"Low Performance","Good Performance")</f>
        <v>Good Performance</v>
      </c>
      <c r="AL2" s="6">
        <f>COUNTIFS(main[Rating],5,main[Region],"North")</f>
        <v>6</v>
      </c>
    </row>
    <row r="3" spans="1:38">
      <c r="A3" s="2" t="s">
        <v>22</v>
      </c>
      <c r="B3" s="2" t="s">
        <v>20</v>
      </c>
      <c r="C3" s="2" t="s">
        <v>10</v>
      </c>
      <c r="D3" s="2" t="s">
        <v>14</v>
      </c>
      <c r="E3" s="2">
        <v>9</v>
      </c>
      <c r="F3" s="5">
        <v>4050</v>
      </c>
      <c r="G3" s="2" t="s">
        <v>23</v>
      </c>
      <c r="H3" s="2" t="s">
        <v>21</v>
      </c>
      <c r="I3" s="2">
        <v>5</v>
      </c>
      <c r="P3" s="6" t="str">
        <v>Mark Green</v>
      </c>
      <c r="T3" s="6" t="str">
        <f>IF(OR(main[[#This Row],[Units_Sold]]&gt;15,main[[#This Row],[Rating]]=5),"Star","No Star")</f>
        <v>Star</v>
      </c>
      <c r="X3" s="6" t="str" cm="1">
        <f t="array" ref="X3">_xlfn.IFS(main[[#This Row],[Rating]]=5,"Excellent",main[[#This Row],[Rating]]=4,"Good",TRUE,"Average")</f>
        <v>Excellent</v>
      </c>
      <c r="AB3" s="6" t="str">
        <v>West</v>
      </c>
      <c r="AG3" s="6" t="str">
        <f>IF(AND(main[[#This Row],[Revenue]]&gt;9000,main[[#This Row],[Rating]]=5),"Premium Sale","Regular Sale")</f>
        <v>Regular Sale</v>
      </c>
      <c r="AK3" s="6" t="str">
        <f>IF(OR(main[[#This Row],[Units_Sold]]&lt;8,main[[#This Row],[Rating]]&lt;3),"Low Performance","Good Performance")</f>
        <v>Good Performance</v>
      </c>
    </row>
    <row r="4" spans="1:38">
      <c r="A4" s="2" t="s">
        <v>24</v>
      </c>
      <c r="B4" s="2" t="s">
        <v>25</v>
      </c>
      <c r="C4" s="2" t="s">
        <v>9</v>
      </c>
      <c r="D4" s="2" t="s">
        <v>26</v>
      </c>
      <c r="E4" s="2">
        <v>17</v>
      </c>
      <c r="F4" s="5">
        <v>2550</v>
      </c>
      <c r="G4" s="2" t="s">
        <v>27</v>
      </c>
      <c r="H4" s="2" t="s">
        <v>28</v>
      </c>
      <c r="I4" s="2">
        <v>3</v>
      </c>
      <c r="P4" s="6" t="str">
        <v>John Smith</v>
      </c>
      <c r="T4" s="6" t="str">
        <f>IF(OR(main[[#This Row],[Units_Sold]]&gt;15,main[[#This Row],[Rating]]=5),"Star","No Star")</f>
        <v>Star</v>
      </c>
      <c r="X4" s="6" t="str" cm="1">
        <f t="array" ref="X4">_xlfn.IFS(main[[#This Row],[Rating]]=5,"Excellent",main[[#This Row],[Rating]]=4,"Good",TRUE,"Average")</f>
        <v>Average</v>
      </c>
      <c r="AB4" s="6" t="str">
        <v>North</v>
      </c>
      <c r="AG4" s="6" t="str">
        <f>IF(AND(main[[#This Row],[Revenue]]&gt;9000,main[[#This Row],[Rating]]=5),"Premium Sale","Regular Sale")</f>
        <v>Regular Sale</v>
      </c>
      <c r="AK4" s="6" t="str">
        <f>IF(OR(main[[#This Row],[Units_Sold]]&lt;8,main[[#This Row],[Rating]]&lt;3),"Low Performance","Good Performance")</f>
        <v>Good Performance</v>
      </c>
    </row>
    <row r="5" spans="1:38">
      <c r="A5" s="2" t="s">
        <v>29</v>
      </c>
      <c r="B5" s="2" t="s">
        <v>30</v>
      </c>
      <c r="C5" s="2" t="s">
        <v>7</v>
      </c>
      <c r="D5" s="2" t="s">
        <v>11</v>
      </c>
      <c r="E5" s="2">
        <v>5</v>
      </c>
      <c r="F5" s="5">
        <v>1750</v>
      </c>
      <c r="G5" s="2" t="s">
        <v>16</v>
      </c>
      <c r="H5" s="2" t="s">
        <v>31</v>
      </c>
      <c r="I5" s="2">
        <v>4</v>
      </c>
      <c r="P5" s="6" t="str">
        <v>Mary Jones</v>
      </c>
      <c r="T5" s="6" t="str">
        <f>IF(OR(main[[#This Row],[Units_Sold]]&gt;15,main[[#This Row],[Rating]]=5),"Star","No Star")</f>
        <v>No Star</v>
      </c>
      <c r="X5" s="6" t="str" cm="1">
        <f t="array" ref="X5">_xlfn.IFS(main[[#This Row],[Rating]]=5,"Excellent",main[[#This Row],[Rating]]=4,"Good",TRUE,"Average")</f>
        <v>Good</v>
      </c>
      <c r="AB5" s="6" t="str">
        <v>South</v>
      </c>
      <c r="AG5" s="6" t="str">
        <f>IF(AND(main[[#This Row],[Revenue]]&gt;9000,main[[#This Row],[Rating]]=5),"Premium Sale","Regular Sale")</f>
        <v>Regular Sale</v>
      </c>
      <c r="AK5" s="6" t="str">
        <f>IF(OR(main[[#This Row],[Units_Sold]]&lt;8,main[[#This Row],[Rating]]&lt;3),"Low Performance","Good Performance")</f>
        <v>Low Performance</v>
      </c>
    </row>
    <row r="6" spans="1:38">
      <c r="A6" s="2" t="s">
        <v>32</v>
      </c>
      <c r="B6" s="2" t="s">
        <v>33</v>
      </c>
      <c r="C6" s="2" t="s">
        <v>8</v>
      </c>
      <c r="D6" s="2" t="s">
        <v>13</v>
      </c>
      <c r="E6" s="2">
        <v>4</v>
      </c>
      <c r="F6" s="5">
        <v>1200</v>
      </c>
      <c r="G6" s="2" t="s">
        <v>23</v>
      </c>
      <c r="H6" s="2" t="s">
        <v>31</v>
      </c>
      <c r="I6" s="2">
        <v>3</v>
      </c>
      <c r="P6" s="6" t="str">
        <v>Tom White</v>
      </c>
      <c r="T6" s="6" t="str">
        <f>IF(OR(main[[#This Row],[Units_Sold]]&gt;15,main[[#This Row],[Rating]]=5),"Star","No Star")</f>
        <v>No Star</v>
      </c>
      <c r="X6" s="6" t="str" cm="1">
        <f t="array" ref="X6">_xlfn.IFS(main[[#This Row],[Rating]]=5,"Excellent",main[[#This Row],[Rating]]=4,"Good",TRUE,"Average")</f>
        <v>Average</v>
      </c>
      <c r="AB6" s="6" t="str">
        <v>East</v>
      </c>
      <c r="AG6" s="6" t="str">
        <f>IF(AND(main[[#This Row],[Revenue]]&gt;9000,main[[#This Row],[Rating]]=5),"Premium Sale","Regular Sale")</f>
        <v>Regular Sale</v>
      </c>
      <c r="AK6" s="6" t="str">
        <f>IF(OR(main[[#This Row],[Units_Sold]]&lt;8,main[[#This Row],[Rating]]&lt;3),"Low Performance","Good Performance")</f>
        <v>Low Performance</v>
      </c>
    </row>
    <row r="7" spans="1:38">
      <c r="A7" s="2" t="s">
        <v>34</v>
      </c>
      <c r="B7" s="2" t="s">
        <v>30</v>
      </c>
      <c r="C7" s="2" t="s">
        <v>9</v>
      </c>
      <c r="D7" s="2" t="s">
        <v>12</v>
      </c>
      <c r="E7" s="2">
        <v>8</v>
      </c>
      <c r="F7" s="5">
        <v>7200</v>
      </c>
      <c r="G7" s="2" t="s">
        <v>16</v>
      </c>
      <c r="H7" s="2" t="s">
        <v>35</v>
      </c>
      <c r="I7" s="2">
        <v>5</v>
      </c>
      <c r="P7" s="6" t="str">
        <v>Emily Clark</v>
      </c>
      <c r="T7" s="6" t="str">
        <f>IF(OR(main[[#This Row],[Units_Sold]]&gt;15,main[[#This Row],[Rating]]=5),"Star","No Star")</f>
        <v>Star</v>
      </c>
      <c r="X7" s="6" t="str" cm="1">
        <f t="array" ref="X7">_xlfn.IFS(main[[#This Row],[Rating]]=5,"Excellent",main[[#This Row],[Rating]]=4,"Good",TRUE,"Average")</f>
        <v>Excellent</v>
      </c>
      <c r="AB7" s="6" t="str">
        <v>North</v>
      </c>
      <c r="AG7" s="6" t="str">
        <f>IF(AND(main[[#This Row],[Revenue]]&gt;9000,main[[#This Row],[Rating]]=5),"Premium Sale","Regular Sale")</f>
        <v>Regular Sale</v>
      </c>
      <c r="AK7" s="6" t="str">
        <f>IF(OR(main[[#This Row],[Units_Sold]]&lt;8,main[[#This Row],[Rating]]&lt;3),"Low Performance","Good Performance")</f>
        <v>Good Performance</v>
      </c>
    </row>
    <row r="8" spans="1:38">
      <c r="A8" s="2" t="s">
        <v>36</v>
      </c>
      <c r="B8" s="2" t="s">
        <v>20</v>
      </c>
      <c r="C8" s="2" t="s">
        <v>7</v>
      </c>
      <c r="D8" s="2" t="s">
        <v>14</v>
      </c>
      <c r="E8" s="2">
        <v>14</v>
      </c>
      <c r="F8" s="5">
        <v>6300</v>
      </c>
      <c r="G8" s="2" t="s">
        <v>23</v>
      </c>
      <c r="H8" s="2" t="s">
        <v>35</v>
      </c>
      <c r="I8" s="2">
        <v>4</v>
      </c>
      <c r="N8" s="4"/>
      <c r="P8" s="6" t="str">
        <v>Daniel Lewis</v>
      </c>
      <c r="T8" s="6" t="str">
        <f>IF(OR(main[[#This Row],[Units_Sold]]&gt;15,main[[#This Row],[Rating]]=5),"Star","No Star")</f>
        <v>No Star</v>
      </c>
      <c r="X8" s="6" t="str" cm="1">
        <f t="array" ref="X8">_xlfn.IFS(main[[#This Row],[Rating]]=5,"Excellent",main[[#This Row],[Rating]]=4,"Good",TRUE,"Average")</f>
        <v>Good</v>
      </c>
      <c r="AB8" s="6" t="str">
        <v>South</v>
      </c>
      <c r="AG8" s="6" t="str">
        <f>IF(AND(main[[#This Row],[Revenue]]&gt;9000,main[[#This Row],[Rating]]=5),"Premium Sale","Regular Sale")</f>
        <v>Regular Sale</v>
      </c>
      <c r="AK8" s="6" t="str">
        <f>IF(OR(main[[#This Row],[Units_Sold]]&lt;8,main[[#This Row],[Rating]]&lt;3),"Low Performance","Good Performance")</f>
        <v>Good Performance</v>
      </c>
    </row>
    <row r="9" spans="1:38">
      <c r="A9" s="2" t="s">
        <v>37</v>
      </c>
      <c r="B9" s="2" t="s">
        <v>25</v>
      </c>
      <c r="C9" s="2" t="s">
        <v>8</v>
      </c>
      <c r="D9" s="2" t="s">
        <v>11</v>
      </c>
      <c r="E9" s="2">
        <v>6</v>
      </c>
      <c r="F9" s="5">
        <v>2100</v>
      </c>
      <c r="G9" s="2" t="s">
        <v>27</v>
      </c>
      <c r="H9" s="2" t="s">
        <v>15</v>
      </c>
      <c r="I9" s="2">
        <v>3</v>
      </c>
      <c r="P9" s="6" t="str">
        <v>Laura Scott</v>
      </c>
      <c r="T9" s="6" t="str">
        <f>IF(OR(main[[#This Row],[Units_Sold]]&gt;15,main[[#This Row],[Rating]]=5),"Star","No Star")</f>
        <v>No Star</v>
      </c>
      <c r="X9" s="6" t="str" cm="1">
        <f t="array" ref="X9">_xlfn.IFS(main[[#This Row],[Rating]]=5,"Excellent",main[[#This Row],[Rating]]=4,"Good",TRUE,"Average")</f>
        <v>Average</v>
      </c>
      <c r="AB9" s="6" t="str">
        <v>East</v>
      </c>
      <c r="AG9" s="6" t="str">
        <f>IF(AND(main[[#This Row],[Revenue]]&gt;9000,main[[#This Row],[Rating]]=5),"Premium Sale","Regular Sale")</f>
        <v>Regular Sale</v>
      </c>
      <c r="AK9" s="6" t="str">
        <f>IF(OR(main[[#This Row],[Units_Sold]]&lt;8,main[[#This Row],[Rating]]&lt;3),"Low Performance","Good Performance")</f>
        <v>Low Performance</v>
      </c>
    </row>
    <row r="10" spans="1:38">
      <c r="A10" s="2" t="s">
        <v>38</v>
      </c>
      <c r="B10" s="2" t="s">
        <v>33</v>
      </c>
      <c r="C10" s="2" t="s">
        <v>10</v>
      </c>
      <c r="D10" s="2" t="s">
        <v>12</v>
      </c>
      <c r="E10" s="2">
        <v>9</v>
      </c>
      <c r="F10" s="5">
        <v>6750</v>
      </c>
      <c r="G10" s="2" t="s">
        <v>16</v>
      </c>
      <c r="H10" s="2" t="s">
        <v>15</v>
      </c>
      <c r="I10" s="2">
        <v>4</v>
      </c>
      <c r="P10" s="6" t="str">
        <v>Kevin Turner</v>
      </c>
      <c r="T10" s="6" t="str">
        <f>IF(OR(main[[#This Row],[Units_Sold]]&gt;15,main[[#This Row],[Rating]]=5),"Star","No Star")</f>
        <v>No Star</v>
      </c>
      <c r="X10" s="6" t="str" cm="1">
        <f t="array" ref="X10">_xlfn.IFS(main[[#This Row],[Rating]]=5,"Excellent",main[[#This Row],[Rating]]=4,"Good",TRUE,"Average")</f>
        <v>Good</v>
      </c>
      <c r="AB10" s="6" t="str">
        <v>West</v>
      </c>
      <c r="AG10" s="6" t="str">
        <f>IF(AND(main[[#This Row],[Revenue]]&gt;9000,main[[#This Row],[Rating]]=5),"Premium Sale","Regular Sale")</f>
        <v>Regular Sale</v>
      </c>
      <c r="AK10" s="6" t="str">
        <f>IF(OR(main[[#This Row],[Units_Sold]]&lt;8,main[[#This Row],[Rating]]&lt;3),"Low Performance","Good Performance")</f>
        <v>Good Performance</v>
      </c>
    </row>
    <row r="11" spans="1:38">
      <c r="A11" s="2" t="s">
        <v>39</v>
      </c>
      <c r="B11" s="2" t="s">
        <v>20</v>
      </c>
      <c r="C11" s="2" t="s">
        <v>9</v>
      </c>
      <c r="D11" s="2" t="s">
        <v>13</v>
      </c>
      <c r="E11" s="2">
        <v>7</v>
      </c>
      <c r="F11" s="5">
        <v>2450</v>
      </c>
      <c r="G11" s="2" t="s">
        <v>23</v>
      </c>
      <c r="H11" s="2" t="s">
        <v>15</v>
      </c>
      <c r="I11" s="2">
        <v>5</v>
      </c>
      <c r="P11" s="6" t="str">
        <v>Rachel Adams</v>
      </c>
      <c r="T11" s="6" t="str">
        <f>IF(OR(main[[#This Row],[Units_Sold]]&gt;15,main[[#This Row],[Rating]]=5),"Star","No Star")</f>
        <v>Star</v>
      </c>
      <c r="X11" s="6" t="str" cm="1">
        <f t="array" ref="X11">_xlfn.IFS(main[[#This Row],[Rating]]=5,"Excellent",main[[#This Row],[Rating]]=4,"Good",TRUE,"Average")</f>
        <v>Excellent</v>
      </c>
      <c r="AB11" s="6" t="str">
        <v>North</v>
      </c>
      <c r="AG11" s="6" t="str">
        <f>IF(AND(main[[#This Row],[Revenue]]&gt;9000,main[[#This Row],[Rating]]=5),"Premium Sale","Regular Sale")</f>
        <v>Regular Sale</v>
      </c>
      <c r="AK11" s="6" t="str">
        <f>IF(OR(main[[#This Row],[Units_Sold]]&lt;8,main[[#This Row],[Rating]]&lt;3),"Low Performance","Good Performance")</f>
        <v>Low Performance</v>
      </c>
    </row>
    <row r="12" spans="1:38">
      <c r="A12" s="2" t="s">
        <v>40</v>
      </c>
      <c r="B12" s="2" t="s">
        <v>30</v>
      </c>
      <c r="C12" s="2" t="s">
        <v>8</v>
      </c>
      <c r="D12" s="2" t="s">
        <v>26</v>
      </c>
      <c r="E12" s="2">
        <v>11</v>
      </c>
      <c r="F12" s="5">
        <v>1650</v>
      </c>
      <c r="G12" s="2" t="s">
        <v>27</v>
      </c>
      <c r="H12" s="2" t="s">
        <v>41</v>
      </c>
      <c r="I12" s="2">
        <v>3</v>
      </c>
      <c r="P12" s="6" t="str">
        <v>Chris Evans</v>
      </c>
      <c r="T12" s="6" t="str">
        <f>IF(OR(main[[#This Row],[Units_Sold]]&gt;15,main[[#This Row],[Rating]]=5),"Star","No Star")</f>
        <v>No Star</v>
      </c>
      <c r="X12" s="6" t="str" cm="1">
        <f t="array" ref="X12">_xlfn.IFS(main[[#This Row],[Rating]]=5,"Excellent",main[[#This Row],[Rating]]=4,"Good",TRUE,"Average")</f>
        <v>Average</v>
      </c>
      <c r="AB12" s="6" t="str">
        <v>East</v>
      </c>
      <c r="AG12" s="6" t="str">
        <f>IF(AND(main[[#This Row],[Revenue]]&gt;9000,main[[#This Row],[Rating]]=5),"Premium Sale","Regular Sale")</f>
        <v>Regular Sale</v>
      </c>
      <c r="AK12" s="6" t="str">
        <f>IF(OR(main[[#This Row],[Units_Sold]]&lt;8,main[[#This Row],[Rating]]&lt;3),"Low Performance","Good Performance")</f>
        <v>Good Performance</v>
      </c>
    </row>
    <row r="13" spans="1:38">
      <c r="A13" s="2" t="s">
        <v>42</v>
      </c>
      <c r="B13" s="2" t="s">
        <v>20</v>
      </c>
      <c r="C13" s="2" t="s">
        <v>7</v>
      </c>
      <c r="D13" s="2" t="s">
        <v>11</v>
      </c>
      <c r="E13" s="2">
        <v>15</v>
      </c>
      <c r="F13" s="5">
        <v>5250</v>
      </c>
      <c r="G13" s="2" t="s">
        <v>16</v>
      </c>
      <c r="H13" s="2" t="s">
        <v>41</v>
      </c>
      <c r="I13" s="2">
        <v>5</v>
      </c>
      <c r="P13" s="6" t="str">
        <v>Sarah Lee</v>
      </c>
      <c r="T13" s="6" t="str">
        <f>IF(OR(main[[#This Row],[Units_Sold]]&gt;15,main[[#This Row],[Rating]]=5),"Star","No Star")</f>
        <v>Star</v>
      </c>
      <c r="X13" s="6" t="str" cm="1">
        <f t="array" ref="X13">_xlfn.IFS(main[[#This Row],[Rating]]=5,"Excellent",main[[#This Row],[Rating]]=4,"Good",TRUE,"Average")</f>
        <v>Excellent</v>
      </c>
      <c r="AB13" s="6" t="str">
        <v>South</v>
      </c>
      <c r="AG13" s="6" t="str">
        <f>IF(AND(main[[#This Row],[Revenue]]&gt;9000,main[[#This Row],[Rating]]=5),"Premium Sale","Regular Sale")</f>
        <v>Regular Sale</v>
      </c>
      <c r="AK13" s="6" t="str">
        <f>IF(OR(main[[#This Row],[Units_Sold]]&lt;8,main[[#This Row],[Rating]]&lt;3),"Low Performance","Good Performance")</f>
        <v>Good Performance</v>
      </c>
    </row>
    <row r="14" spans="1:38">
      <c r="A14" s="2" t="s">
        <v>43</v>
      </c>
      <c r="B14" s="2" t="s">
        <v>33</v>
      </c>
      <c r="C14" s="2" t="s">
        <v>9</v>
      </c>
      <c r="D14" s="2" t="s">
        <v>14</v>
      </c>
      <c r="E14" s="2">
        <v>10</v>
      </c>
      <c r="F14" s="5">
        <v>4500</v>
      </c>
      <c r="G14" s="2" t="s">
        <v>23</v>
      </c>
      <c r="H14" s="2" t="s">
        <v>44</v>
      </c>
      <c r="I14" s="2">
        <v>4</v>
      </c>
      <c r="P14" s="6" t="str">
        <v>Paul Walker</v>
      </c>
      <c r="T14" s="6" t="str">
        <f>IF(OR(main[[#This Row],[Units_Sold]]&gt;15,main[[#This Row],[Rating]]=5),"Star","No Star")</f>
        <v>No Star</v>
      </c>
      <c r="X14" s="6" t="str" cm="1">
        <f t="array" ref="X14">_xlfn.IFS(main[[#This Row],[Rating]]=5,"Excellent",main[[#This Row],[Rating]]=4,"Good",TRUE,"Average")</f>
        <v>Good</v>
      </c>
      <c r="AB14" s="6" t="str">
        <v>North</v>
      </c>
      <c r="AG14" s="6" t="str">
        <f>IF(AND(main[[#This Row],[Revenue]]&gt;9000,main[[#This Row],[Rating]]=5),"Premium Sale","Regular Sale")</f>
        <v>Regular Sale</v>
      </c>
      <c r="AK14" s="6" t="str">
        <f>IF(OR(main[[#This Row],[Units_Sold]]&lt;8,main[[#This Row],[Rating]]&lt;3),"Low Performance","Good Performance")</f>
        <v>Good Performance</v>
      </c>
    </row>
    <row r="15" spans="1:38">
      <c r="A15" s="2" t="s">
        <v>45</v>
      </c>
      <c r="B15" s="2" t="s">
        <v>25</v>
      </c>
      <c r="C15" s="2" t="s">
        <v>7</v>
      </c>
      <c r="D15" s="2" t="s">
        <v>12</v>
      </c>
      <c r="E15" s="2">
        <v>13</v>
      </c>
      <c r="F15" s="5">
        <v>10400</v>
      </c>
      <c r="G15" s="2" t="s">
        <v>16</v>
      </c>
      <c r="H15" s="2" t="s">
        <v>44</v>
      </c>
      <c r="I15" s="2">
        <v>5</v>
      </c>
      <c r="P15" s="6" t="str">
        <v>Nancy Hill</v>
      </c>
      <c r="T15" s="6" t="str">
        <f>IF(OR(main[[#This Row],[Units_Sold]]&gt;15,main[[#This Row],[Rating]]=5),"Star","No Star")</f>
        <v>Star</v>
      </c>
      <c r="X15" s="6" t="str" cm="1">
        <f t="array" ref="X15">_xlfn.IFS(main[[#This Row],[Rating]]=5,"Excellent",main[[#This Row],[Rating]]=4,"Good",TRUE,"Average")</f>
        <v>Excellent</v>
      </c>
      <c r="AB15" s="6" t="str">
        <v>South</v>
      </c>
      <c r="AG15" s="6" t="str">
        <f>IF(AND(main[[#This Row],[Revenue]]&gt;9000,main[[#This Row],[Rating]]=5),"Premium Sale","Regular Sale")</f>
        <v>Premium Sale</v>
      </c>
      <c r="AK15" s="6" t="str">
        <f>IF(OR(main[[#This Row],[Units_Sold]]&lt;8,main[[#This Row],[Rating]]&lt;3),"Low Performance","Good Performance")</f>
        <v>Good Performance</v>
      </c>
    </row>
    <row r="16" spans="1:38">
      <c r="A16" s="2" t="s">
        <v>46</v>
      </c>
      <c r="B16" s="2" t="s">
        <v>30</v>
      </c>
      <c r="C16" s="2" t="s">
        <v>10</v>
      </c>
      <c r="D16" s="2" t="s">
        <v>13</v>
      </c>
      <c r="E16" s="2">
        <v>8</v>
      </c>
      <c r="F16" s="5">
        <v>2400</v>
      </c>
      <c r="G16" s="2" t="s">
        <v>23</v>
      </c>
      <c r="H16" s="2" t="s">
        <v>44</v>
      </c>
      <c r="I16" s="2">
        <v>3</v>
      </c>
      <c r="P16" s="6" t="str">
        <v>Adam King</v>
      </c>
      <c r="T16" s="6" t="str">
        <f>IF(OR(main[[#This Row],[Units_Sold]]&gt;15,main[[#This Row],[Rating]]=5),"Star","No Star")</f>
        <v>No Star</v>
      </c>
      <c r="X16" s="6" t="str" cm="1">
        <f t="array" ref="X16">_xlfn.IFS(main[[#This Row],[Rating]]=5,"Excellent",main[[#This Row],[Rating]]=4,"Good",TRUE,"Average")</f>
        <v>Average</v>
      </c>
      <c r="AB16" s="6" t="str">
        <v>West</v>
      </c>
      <c r="AG16" s="6" t="str">
        <f>IF(AND(main[[#This Row],[Revenue]]&gt;9000,main[[#This Row],[Rating]]=5),"Premium Sale","Regular Sale")</f>
        <v>Regular Sale</v>
      </c>
      <c r="AK16" s="6" t="str">
        <f>IF(OR(main[[#This Row],[Units_Sold]]&lt;8,main[[#This Row],[Rating]]&lt;3),"Low Performance","Good Performance")</f>
        <v>Good Performance</v>
      </c>
    </row>
    <row r="17" spans="1:37">
      <c r="A17" s="2" t="s">
        <v>47</v>
      </c>
      <c r="B17" s="2" t="s">
        <v>20</v>
      </c>
      <c r="C17" s="2" t="s">
        <v>8</v>
      </c>
      <c r="D17" s="2" t="s">
        <v>11</v>
      </c>
      <c r="E17" s="2">
        <v>10</v>
      </c>
      <c r="F17" s="5">
        <v>3500</v>
      </c>
      <c r="G17" s="2" t="s">
        <v>27</v>
      </c>
      <c r="H17" s="2" t="s">
        <v>48</v>
      </c>
      <c r="I17" s="2">
        <v>4</v>
      </c>
      <c r="P17" s="6" t="str">
        <v>Olivia Reed</v>
      </c>
      <c r="T17" s="6" t="str">
        <f>IF(OR(main[[#This Row],[Units_Sold]]&gt;15,main[[#This Row],[Rating]]=5),"Star","No Star")</f>
        <v>No Star</v>
      </c>
      <c r="X17" s="6" t="str" cm="1">
        <f t="array" ref="X17">_xlfn.IFS(main[[#This Row],[Rating]]=5,"Excellent",main[[#This Row],[Rating]]=4,"Good",TRUE,"Average")</f>
        <v>Good</v>
      </c>
      <c r="AB17" s="6" t="str">
        <v>East</v>
      </c>
      <c r="AG17" s="6" t="str">
        <f>IF(AND(main[[#This Row],[Revenue]]&gt;9000,main[[#This Row],[Rating]]=5),"Premium Sale","Regular Sale")</f>
        <v>Regular Sale</v>
      </c>
      <c r="AK17" s="6" t="str">
        <f>IF(OR(main[[#This Row],[Units_Sold]]&lt;8,main[[#This Row],[Rating]]&lt;3),"Low Performance","Good Performance")</f>
        <v>Good Performance</v>
      </c>
    </row>
    <row r="18" spans="1:37">
      <c r="A18" s="2" t="s">
        <v>49</v>
      </c>
      <c r="B18" s="2" t="s">
        <v>33</v>
      </c>
      <c r="C18" s="2" t="s">
        <v>10</v>
      </c>
      <c r="D18" s="2" t="s">
        <v>26</v>
      </c>
      <c r="E18" s="2">
        <v>6</v>
      </c>
      <c r="F18" s="5">
        <v>900</v>
      </c>
      <c r="G18" s="2" t="s">
        <v>23</v>
      </c>
      <c r="H18" s="2" t="s">
        <v>48</v>
      </c>
      <c r="I18" s="2">
        <v>3</v>
      </c>
      <c r="P18" s="6" t="str">
        <v>Ethan Hall</v>
      </c>
      <c r="T18" s="6" t="str">
        <f>IF(OR(main[[#This Row],[Units_Sold]]&gt;15,main[[#This Row],[Rating]]=5),"Star","No Star")</f>
        <v>No Star</v>
      </c>
      <c r="X18" s="6" t="str" cm="1">
        <f t="array" ref="X18">_xlfn.IFS(main[[#This Row],[Rating]]=5,"Excellent",main[[#This Row],[Rating]]=4,"Good",TRUE,"Average")</f>
        <v>Average</v>
      </c>
      <c r="AB18" s="6" t="str">
        <v>West</v>
      </c>
      <c r="AG18" s="6" t="str">
        <f>IF(AND(main[[#This Row],[Revenue]]&gt;9000,main[[#This Row],[Rating]]=5),"Premium Sale","Regular Sale")</f>
        <v>Regular Sale</v>
      </c>
      <c r="AK18" s="6" t="str">
        <f>IF(OR(main[[#This Row],[Units_Sold]]&lt;8,main[[#This Row],[Rating]]&lt;3),"Low Performance","Good Performance")</f>
        <v>Low Performance</v>
      </c>
    </row>
    <row r="19" spans="1:37">
      <c r="A19" s="2" t="s">
        <v>50</v>
      </c>
      <c r="B19" s="2" t="s">
        <v>30</v>
      </c>
      <c r="C19" s="2" t="s">
        <v>9</v>
      </c>
      <c r="D19" s="2" t="s">
        <v>12</v>
      </c>
      <c r="E19" s="2">
        <v>11</v>
      </c>
      <c r="F19" s="5">
        <v>9900</v>
      </c>
      <c r="G19" s="2" t="s">
        <v>16</v>
      </c>
      <c r="H19" s="2" t="s">
        <v>48</v>
      </c>
      <c r="I19" s="2">
        <v>5</v>
      </c>
      <c r="P19" s="6" t="str">
        <v>Megan Ross</v>
      </c>
      <c r="T19" s="6" t="str">
        <f>IF(OR(main[[#This Row],[Units_Sold]]&gt;15,main[[#This Row],[Rating]]=5),"Star","No Star")</f>
        <v>Star</v>
      </c>
      <c r="X19" s="6" t="str" cm="1">
        <f t="array" ref="X19">_xlfn.IFS(main[[#This Row],[Rating]]=5,"Excellent",main[[#This Row],[Rating]]=4,"Good",TRUE,"Average")</f>
        <v>Excellent</v>
      </c>
      <c r="AB19" s="6" t="str">
        <v>North</v>
      </c>
      <c r="AG19" s="6" t="str">
        <f>IF(AND(main[[#This Row],[Revenue]]&gt;9000,main[[#This Row],[Rating]]=5),"Premium Sale","Regular Sale")</f>
        <v>Premium Sale</v>
      </c>
      <c r="AK19" s="6" t="str">
        <f>IF(OR(main[[#This Row],[Units_Sold]]&lt;8,main[[#This Row],[Rating]]&lt;3),"Low Performance","Good Performance")</f>
        <v>Good Performance</v>
      </c>
    </row>
    <row r="20" spans="1:37">
      <c r="A20" s="2" t="s">
        <v>51</v>
      </c>
      <c r="B20" s="2" t="s">
        <v>25</v>
      </c>
      <c r="C20" s="2" t="s">
        <v>8</v>
      </c>
      <c r="D20" s="2" t="s">
        <v>14</v>
      </c>
      <c r="E20" s="2">
        <v>9</v>
      </c>
      <c r="F20" s="5">
        <v>4050</v>
      </c>
      <c r="G20" s="2" t="s">
        <v>23</v>
      </c>
      <c r="H20" s="2" t="s">
        <v>52</v>
      </c>
      <c r="I20" s="2">
        <v>4</v>
      </c>
      <c r="P20" s="6" t="str">
        <v>Jason Fox</v>
      </c>
      <c r="T20" s="6" t="str">
        <f>IF(OR(main[[#This Row],[Units_Sold]]&gt;15,main[[#This Row],[Rating]]=5),"Star","No Star")</f>
        <v>No Star</v>
      </c>
      <c r="X20" s="6" t="str" cm="1">
        <f t="array" ref="X20">_xlfn.IFS(main[[#This Row],[Rating]]=5,"Excellent",main[[#This Row],[Rating]]=4,"Good",TRUE,"Average")</f>
        <v>Good</v>
      </c>
      <c r="AB20" s="6" t="str">
        <v>East</v>
      </c>
      <c r="AG20" s="6" t="str">
        <f>IF(AND(main[[#This Row],[Revenue]]&gt;9000,main[[#This Row],[Rating]]=5),"Premium Sale","Regular Sale")</f>
        <v>Regular Sale</v>
      </c>
      <c r="AK20" s="6" t="str">
        <f>IF(OR(main[[#This Row],[Units_Sold]]&lt;8,main[[#This Row],[Rating]]&lt;3),"Low Performance","Good Performance")</f>
        <v>Good Performance</v>
      </c>
    </row>
    <row r="21" spans="1:37">
      <c r="A21" s="2" t="s">
        <v>53</v>
      </c>
      <c r="B21" s="2" t="s">
        <v>33</v>
      </c>
      <c r="C21" s="2" t="s">
        <v>7</v>
      </c>
      <c r="D21" s="2" t="s">
        <v>11</v>
      </c>
      <c r="E21" s="2">
        <v>5</v>
      </c>
      <c r="F21" s="5">
        <v>1750</v>
      </c>
      <c r="G21" s="2" t="s">
        <v>16</v>
      </c>
      <c r="H21" s="2" t="s">
        <v>52</v>
      </c>
      <c r="I21" s="2">
        <v>3</v>
      </c>
      <c r="P21" s="6" t="str">
        <v>Linda Gray</v>
      </c>
      <c r="T21" s="6" t="str">
        <f>IF(OR(main[[#This Row],[Units_Sold]]&gt;15,main[[#This Row],[Rating]]=5),"Star","No Star")</f>
        <v>No Star</v>
      </c>
      <c r="X21" s="6" t="str" cm="1">
        <f t="array" ref="X21">_xlfn.IFS(main[[#This Row],[Rating]]=5,"Excellent",main[[#This Row],[Rating]]=4,"Good",TRUE,"Average")</f>
        <v>Average</v>
      </c>
      <c r="AB21" s="6" t="str">
        <v>South</v>
      </c>
      <c r="AG21" s="6" t="str">
        <f>IF(AND(main[[#This Row],[Revenue]]&gt;9000,main[[#This Row],[Rating]]=5),"Premium Sale","Regular Sale")</f>
        <v>Regular Sale</v>
      </c>
      <c r="AK21" s="6" t="str">
        <f>IF(OR(main[[#This Row],[Units_Sold]]&lt;8,main[[#This Row],[Rating]]&lt;3),"Low Performance","Good Performance")</f>
        <v>Low Performance</v>
      </c>
    </row>
    <row r="22" spans="1:37">
      <c r="A22" s="2" t="s">
        <v>54</v>
      </c>
      <c r="B22" s="2" t="s">
        <v>20</v>
      </c>
      <c r="C22" s="2" t="s">
        <v>10</v>
      </c>
      <c r="D22" s="2" t="s">
        <v>12</v>
      </c>
      <c r="E22" s="2">
        <v>16</v>
      </c>
      <c r="F22" s="5">
        <v>12800</v>
      </c>
      <c r="G22" s="2" t="s">
        <v>23</v>
      </c>
      <c r="H22" s="2" t="s">
        <v>52</v>
      </c>
      <c r="I22" s="2">
        <v>5</v>
      </c>
      <c r="P22" s="6" t="str">
        <v>Peter Wood</v>
      </c>
      <c r="T22" s="6" t="str">
        <f>IF(OR(main[[#This Row],[Units_Sold]]&gt;15,main[[#This Row],[Rating]]=5),"Star","No Star")</f>
        <v>Star</v>
      </c>
      <c r="X22" s="6" t="str" cm="1">
        <f t="array" ref="X22">_xlfn.IFS(main[[#This Row],[Rating]]=5,"Excellent",main[[#This Row],[Rating]]=4,"Good",TRUE,"Average")</f>
        <v>Excellent</v>
      </c>
      <c r="AB22" s="6" t="str">
        <v>West</v>
      </c>
      <c r="AG22" s="6" t="str">
        <f>IF(AND(main[[#This Row],[Revenue]]&gt;9000,main[[#This Row],[Rating]]=5),"Premium Sale","Regular Sale")</f>
        <v>Premium Sale</v>
      </c>
      <c r="AK22" s="6" t="str">
        <f>IF(OR(main[[#This Row],[Units_Sold]]&lt;8,main[[#This Row],[Rating]]&lt;3),"Low Performance","Good Performance")</f>
        <v>Good Performance</v>
      </c>
    </row>
    <row r="23" spans="1:37">
      <c r="A23" s="2" t="s">
        <v>55</v>
      </c>
      <c r="B23" s="2" t="s">
        <v>30</v>
      </c>
      <c r="C23" s="2" t="s">
        <v>8</v>
      </c>
      <c r="D23" s="2" t="s">
        <v>13</v>
      </c>
      <c r="E23" s="2">
        <v>7</v>
      </c>
      <c r="F23" s="5">
        <v>2100</v>
      </c>
      <c r="G23" s="2" t="s">
        <v>27</v>
      </c>
      <c r="H23" s="2" t="s">
        <v>56</v>
      </c>
      <c r="I23" s="2">
        <v>4</v>
      </c>
      <c r="P23" s="6" t="str">
        <v>Julia Price</v>
      </c>
      <c r="T23" s="6" t="str">
        <f>IF(OR(main[[#This Row],[Units_Sold]]&gt;15,main[[#This Row],[Rating]]=5),"Star","No Star")</f>
        <v>No Star</v>
      </c>
      <c r="X23" s="6" t="str" cm="1">
        <f t="array" ref="X23">_xlfn.IFS(main[[#This Row],[Rating]]=5,"Excellent",main[[#This Row],[Rating]]=4,"Good",TRUE,"Average")</f>
        <v>Good</v>
      </c>
      <c r="AB23" s="6" t="str">
        <v>East</v>
      </c>
      <c r="AG23" s="6" t="str">
        <f>IF(AND(main[[#This Row],[Revenue]]&gt;9000,main[[#This Row],[Rating]]=5),"Premium Sale","Regular Sale")</f>
        <v>Regular Sale</v>
      </c>
      <c r="AK23" s="6" t="str">
        <f>IF(OR(main[[#This Row],[Units_Sold]]&lt;8,main[[#This Row],[Rating]]&lt;3),"Low Performance","Good Performance")</f>
        <v>Low Performance</v>
      </c>
    </row>
    <row r="24" spans="1:37">
      <c r="A24" s="2" t="s">
        <v>57</v>
      </c>
      <c r="B24" s="2" t="s">
        <v>25</v>
      </c>
      <c r="C24" s="2" t="s">
        <v>9</v>
      </c>
      <c r="D24" s="2" t="s">
        <v>26</v>
      </c>
      <c r="E24" s="2">
        <v>10</v>
      </c>
      <c r="F24" s="5">
        <v>1500</v>
      </c>
      <c r="G24" s="2" t="s">
        <v>16</v>
      </c>
      <c r="H24" s="2" t="s">
        <v>56</v>
      </c>
      <c r="I24" s="2">
        <v>3</v>
      </c>
      <c r="P24" s="6" t="str">
        <v>Brian Bell</v>
      </c>
      <c r="T24" s="6" t="str">
        <f>IF(OR(main[[#This Row],[Units_Sold]]&gt;15,main[[#This Row],[Rating]]=5),"Star","No Star")</f>
        <v>No Star</v>
      </c>
      <c r="X24" s="6" t="str" cm="1">
        <f t="array" ref="X24">_xlfn.IFS(main[[#This Row],[Rating]]=5,"Excellent",main[[#This Row],[Rating]]=4,"Good",TRUE,"Average")</f>
        <v>Average</v>
      </c>
      <c r="AB24" s="6" t="str">
        <v>North</v>
      </c>
      <c r="AG24" s="6" t="str">
        <f>IF(AND(main[[#This Row],[Revenue]]&gt;9000,main[[#This Row],[Rating]]=5),"Premium Sale","Regular Sale")</f>
        <v>Regular Sale</v>
      </c>
      <c r="AK24" s="6" t="str">
        <f>IF(OR(main[[#This Row],[Units_Sold]]&lt;8,main[[#This Row],[Rating]]&lt;3),"Low Performance","Good Performance")</f>
        <v>Good Performance</v>
      </c>
    </row>
    <row r="25" spans="1:37">
      <c r="A25" s="2" t="s">
        <v>58</v>
      </c>
      <c r="B25" s="2" t="s">
        <v>33</v>
      </c>
      <c r="C25" s="2" t="s">
        <v>10</v>
      </c>
      <c r="D25" s="2" t="s">
        <v>11</v>
      </c>
      <c r="E25" s="2">
        <v>12</v>
      </c>
      <c r="F25" s="5">
        <v>4200</v>
      </c>
      <c r="G25" s="2" t="s">
        <v>23</v>
      </c>
      <c r="H25" s="2" t="s">
        <v>56</v>
      </c>
      <c r="I25" s="2">
        <v>4</v>
      </c>
      <c r="P25" s="6" t="str">
        <v>Chloe Ward</v>
      </c>
      <c r="T25" s="6" t="str">
        <f>IF(OR(main[[#This Row],[Units_Sold]]&gt;15,main[[#This Row],[Rating]]=5),"Star","No Star")</f>
        <v>No Star</v>
      </c>
      <c r="X25" s="6" t="str" cm="1">
        <f t="array" ref="X25">_xlfn.IFS(main[[#This Row],[Rating]]=5,"Excellent",main[[#This Row],[Rating]]=4,"Good",TRUE,"Average")</f>
        <v>Good</v>
      </c>
      <c r="AB25" s="6" t="str">
        <v>West</v>
      </c>
      <c r="AG25" s="6" t="str">
        <f>IF(AND(main[[#This Row],[Revenue]]&gt;9000,main[[#This Row],[Rating]]=5),"Premium Sale","Regular Sale")</f>
        <v>Regular Sale</v>
      </c>
      <c r="AK25" s="6" t="str">
        <f>IF(OR(main[[#This Row],[Units_Sold]]&lt;8,main[[#This Row],[Rating]]&lt;3),"Low Performance","Good Performance")</f>
        <v>Good Performance</v>
      </c>
    </row>
    <row r="26" spans="1:37">
      <c r="A26" s="2" t="s">
        <v>59</v>
      </c>
      <c r="B26" s="2" t="s">
        <v>20</v>
      </c>
      <c r="C26" s="2" t="s">
        <v>7</v>
      </c>
      <c r="D26" s="2" t="s">
        <v>14</v>
      </c>
      <c r="E26" s="2">
        <v>15</v>
      </c>
      <c r="F26" s="5">
        <v>6750</v>
      </c>
      <c r="G26" s="2" t="s">
        <v>16</v>
      </c>
      <c r="H26" s="2" t="s">
        <v>60</v>
      </c>
      <c r="I26" s="2">
        <v>5</v>
      </c>
      <c r="P26" s="6" t="str">
        <v>Alex Young</v>
      </c>
      <c r="T26" s="6" t="str">
        <f>IF(OR(main[[#This Row],[Units_Sold]]&gt;15,main[[#This Row],[Rating]]=5),"Star","No Star")</f>
        <v>Star</v>
      </c>
      <c r="X26" s="6" t="str" cm="1">
        <f t="array" ref="X26">_xlfn.IFS(main[[#This Row],[Rating]]=5,"Excellent",main[[#This Row],[Rating]]=4,"Good",TRUE,"Average")</f>
        <v>Excellent</v>
      </c>
      <c r="AB26" s="6" t="str">
        <v>South</v>
      </c>
      <c r="AG26" s="6" t="str">
        <f>IF(AND(main[[#This Row],[Revenue]]&gt;9000,main[[#This Row],[Rating]]=5),"Premium Sale","Regular Sale")</f>
        <v>Regular Sale</v>
      </c>
      <c r="AK26" s="6" t="str">
        <f>IF(OR(main[[#This Row],[Units_Sold]]&lt;8,main[[#This Row],[Rating]]&lt;3),"Low Performance","Good Performance")</f>
        <v>Good Performance</v>
      </c>
    </row>
    <row r="27" spans="1:37">
      <c r="A27" s="2" t="s">
        <v>61</v>
      </c>
      <c r="B27" s="2" t="s">
        <v>30</v>
      </c>
      <c r="C27" s="2" t="s">
        <v>8</v>
      </c>
      <c r="D27" s="2" t="s">
        <v>12</v>
      </c>
      <c r="E27" s="2">
        <v>9</v>
      </c>
      <c r="F27" s="5">
        <v>8100</v>
      </c>
      <c r="G27" s="2" t="s">
        <v>23</v>
      </c>
      <c r="H27" s="2" t="s">
        <v>60</v>
      </c>
      <c r="I27" s="2">
        <v>4</v>
      </c>
      <c r="P27" s="6" t="str">
        <v>Sophie Cook</v>
      </c>
      <c r="T27" s="6" t="str">
        <f>IF(OR(main[[#This Row],[Units_Sold]]&gt;15,main[[#This Row],[Rating]]=5),"Star","No Star")</f>
        <v>No Star</v>
      </c>
      <c r="X27" s="6" t="str" cm="1">
        <f t="array" ref="X27">_xlfn.IFS(main[[#This Row],[Rating]]=5,"Excellent",main[[#This Row],[Rating]]=4,"Good",TRUE,"Average")</f>
        <v>Good</v>
      </c>
      <c r="AB27" s="6" t="str">
        <v>East</v>
      </c>
      <c r="AG27" s="6" t="str">
        <f>IF(AND(main[[#This Row],[Revenue]]&gt;9000,main[[#This Row],[Rating]]=5),"Premium Sale","Regular Sale")</f>
        <v>Regular Sale</v>
      </c>
      <c r="AK27" s="6" t="str">
        <f>IF(OR(main[[#This Row],[Units_Sold]]&lt;8,main[[#This Row],[Rating]]&lt;3),"Low Performance","Good Performance")</f>
        <v>Good Performance</v>
      </c>
    </row>
    <row r="28" spans="1:37">
      <c r="A28" s="2" t="s">
        <v>62</v>
      </c>
      <c r="B28" s="2" t="s">
        <v>25</v>
      </c>
      <c r="C28" s="2" t="s">
        <v>9</v>
      </c>
      <c r="D28" s="2" t="s">
        <v>13</v>
      </c>
      <c r="E28" s="2">
        <v>8</v>
      </c>
      <c r="F28" s="5">
        <v>2400</v>
      </c>
      <c r="G28" s="2" t="s">
        <v>16</v>
      </c>
      <c r="H28" s="2" t="s">
        <v>60</v>
      </c>
      <c r="I28" s="2">
        <v>3</v>
      </c>
      <c r="P28" s="6" t="str">
        <v>George Reed</v>
      </c>
      <c r="T28" s="6" t="str">
        <f>IF(OR(main[[#This Row],[Units_Sold]]&gt;15,main[[#This Row],[Rating]]=5),"Star","No Star")</f>
        <v>No Star</v>
      </c>
      <c r="X28" s="6" t="str" cm="1">
        <f t="array" ref="X28">_xlfn.IFS(main[[#This Row],[Rating]]=5,"Excellent",main[[#This Row],[Rating]]=4,"Good",TRUE,"Average")</f>
        <v>Average</v>
      </c>
      <c r="AB28" s="6" t="str">
        <v>North</v>
      </c>
      <c r="AG28" s="6" t="str">
        <f>IF(AND(main[[#This Row],[Revenue]]&gt;9000,main[[#This Row],[Rating]]=5),"Premium Sale","Regular Sale")</f>
        <v>Regular Sale</v>
      </c>
      <c r="AK28" s="6" t="str">
        <f>IF(OR(main[[#This Row],[Units_Sold]]&lt;8,main[[#This Row],[Rating]]&lt;3),"Low Performance","Good Performance")</f>
        <v>Good Performance</v>
      </c>
    </row>
    <row r="29" spans="1:37">
      <c r="A29" s="2" t="s">
        <v>63</v>
      </c>
      <c r="B29" s="2" t="s">
        <v>33</v>
      </c>
      <c r="C29" s="2" t="s">
        <v>8</v>
      </c>
      <c r="D29" s="2" t="s">
        <v>11</v>
      </c>
      <c r="E29" s="2">
        <v>10</v>
      </c>
      <c r="F29" s="5">
        <v>3500</v>
      </c>
      <c r="G29" s="2" t="s">
        <v>27</v>
      </c>
      <c r="H29" s="2" t="s">
        <v>60</v>
      </c>
      <c r="I29" s="2">
        <v>4</v>
      </c>
      <c r="P29" s="6" t="str">
        <v>Victoria Cox</v>
      </c>
      <c r="T29" s="6" t="str">
        <f>IF(OR(main[[#This Row],[Units_Sold]]&gt;15,main[[#This Row],[Rating]]=5),"Star","No Star")</f>
        <v>No Star</v>
      </c>
      <c r="X29" s="6" t="str" cm="1">
        <f t="array" ref="X29">_xlfn.IFS(main[[#This Row],[Rating]]=5,"Excellent",main[[#This Row],[Rating]]=4,"Good",TRUE,"Average")</f>
        <v>Good</v>
      </c>
      <c r="AB29" s="6" t="str">
        <v>East</v>
      </c>
      <c r="AG29" s="6" t="str">
        <f>IF(AND(main[[#This Row],[Revenue]]&gt;9000,main[[#This Row],[Rating]]=5),"Premium Sale","Regular Sale")</f>
        <v>Regular Sale</v>
      </c>
      <c r="AK29" s="6" t="str">
        <f>IF(OR(main[[#This Row],[Units_Sold]]&lt;8,main[[#This Row],[Rating]]&lt;3),"Low Performance","Good Performance")</f>
        <v>Good Performance</v>
      </c>
    </row>
    <row r="30" spans="1:37">
      <c r="A30" s="2" t="s">
        <v>64</v>
      </c>
      <c r="B30" s="2" t="s">
        <v>20</v>
      </c>
      <c r="C30" s="2" t="s">
        <v>9</v>
      </c>
      <c r="D30" s="2" t="s">
        <v>12</v>
      </c>
      <c r="E30" s="2">
        <v>18</v>
      </c>
      <c r="F30" s="5">
        <v>16200</v>
      </c>
      <c r="G30" s="2" t="s">
        <v>16</v>
      </c>
      <c r="H30" s="2" t="s">
        <v>65</v>
      </c>
      <c r="I30" s="2">
        <v>5</v>
      </c>
      <c r="P30" s="6" t="str">
        <v>Henry Ross</v>
      </c>
      <c r="T30" s="6" t="str">
        <f>IF(OR(main[[#This Row],[Units_Sold]]&gt;15,main[[#This Row],[Rating]]=5),"Star","No Star")</f>
        <v>Star</v>
      </c>
      <c r="X30" s="6" t="str" cm="1">
        <f t="array" ref="X30">_xlfn.IFS(main[[#This Row],[Rating]]=5,"Excellent",main[[#This Row],[Rating]]=4,"Good",TRUE,"Average")</f>
        <v>Excellent</v>
      </c>
      <c r="AB30" s="6" t="str">
        <v>North</v>
      </c>
      <c r="AG30" s="6" t="str">
        <f>IF(AND(main[[#This Row],[Revenue]]&gt;9000,main[[#This Row],[Rating]]=5),"Premium Sale","Regular Sale")</f>
        <v>Premium Sale</v>
      </c>
      <c r="AK30" s="6" t="str">
        <f>IF(OR(main[[#This Row],[Units_Sold]]&lt;8,main[[#This Row],[Rating]]&lt;3),"Low Performance","Good Performance")</f>
        <v>Good Performance</v>
      </c>
    </row>
    <row r="31" spans="1:37">
      <c r="A31" s="2" t="s">
        <v>66</v>
      </c>
      <c r="B31" s="2" t="s">
        <v>30</v>
      </c>
      <c r="C31" s="2" t="s">
        <v>7</v>
      </c>
      <c r="D31" s="2" t="s">
        <v>14</v>
      </c>
      <c r="E31" s="2">
        <v>12</v>
      </c>
      <c r="F31" s="5">
        <v>5400</v>
      </c>
      <c r="G31" s="2" t="s">
        <v>23</v>
      </c>
      <c r="H31" s="2" t="s">
        <v>65</v>
      </c>
      <c r="I31" s="2">
        <v>4</v>
      </c>
      <c r="P31" s="6" t="str">
        <v>Emma Stone</v>
      </c>
      <c r="T31" s="6" t="str">
        <f>IF(OR(main[[#This Row],[Units_Sold]]&gt;15,main[[#This Row],[Rating]]=5),"Star","No Star")</f>
        <v>No Star</v>
      </c>
      <c r="X31" s="6" t="str" cm="1">
        <f t="array" ref="X31">_xlfn.IFS(main[[#This Row],[Rating]]=5,"Excellent",main[[#This Row],[Rating]]=4,"Good",TRUE,"Average")</f>
        <v>Good</v>
      </c>
      <c r="AB31" s="6" t="str">
        <v>South</v>
      </c>
      <c r="AG31" s="6" t="str">
        <f>IF(AND(main[[#This Row],[Revenue]]&gt;9000,main[[#This Row],[Rating]]=5),"Premium Sale","Regular Sale")</f>
        <v>Regular Sale</v>
      </c>
      <c r="AK31" s="6" t="str">
        <f>IF(OR(main[[#This Row],[Units_Sold]]&lt;8,main[[#This Row],[Rating]]&lt;3),"Low Performance","Good Performance")</f>
        <v>Good Performance</v>
      </c>
    </row>
    <row r="32" spans="1:37">
      <c r="A32" s="2" t="s">
        <v>67</v>
      </c>
      <c r="B32" s="2" t="s">
        <v>33</v>
      </c>
      <c r="C32" s="2" t="s">
        <v>8</v>
      </c>
      <c r="D32" s="2" t="s">
        <v>26</v>
      </c>
      <c r="E32" s="2">
        <v>7</v>
      </c>
      <c r="F32" s="5">
        <v>1050</v>
      </c>
      <c r="G32" s="2" t="s">
        <v>27</v>
      </c>
      <c r="H32" s="2" t="s">
        <v>65</v>
      </c>
      <c r="I32" s="2">
        <v>3</v>
      </c>
      <c r="P32" s="6" t="str">
        <v>Michael Ford</v>
      </c>
      <c r="T32" s="6" t="str">
        <f>IF(OR(main[[#This Row],[Units_Sold]]&gt;15,main[[#This Row],[Rating]]=5),"Star","No Star")</f>
        <v>No Star</v>
      </c>
      <c r="X32" s="6" t="str" cm="1">
        <f t="array" ref="X32">_xlfn.IFS(main[[#This Row],[Rating]]=5,"Excellent",main[[#This Row],[Rating]]=4,"Good",TRUE,"Average")</f>
        <v>Average</v>
      </c>
      <c r="AB32" s="6" t="str">
        <v>East</v>
      </c>
      <c r="AG32" s="6" t="str">
        <f>IF(AND(main[[#This Row],[Revenue]]&gt;9000,main[[#This Row],[Rating]]=5),"Premium Sale","Regular Sale")</f>
        <v>Regular Sale</v>
      </c>
      <c r="AK32" s="6" t="str">
        <f>IF(OR(main[[#This Row],[Units_Sold]]&lt;8,main[[#This Row],[Rating]]&lt;3),"Low Performance","Good Performance")</f>
        <v>Low Performance</v>
      </c>
    </row>
    <row r="33" spans="1:37">
      <c r="A33" s="2" t="s">
        <v>68</v>
      </c>
      <c r="B33" s="2" t="s">
        <v>25</v>
      </c>
      <c r="C33" s="2" t="s">
        <v>7</v>
      </c>
      <c r="D33" s="2" t="s">
        <v>11</v>
      </c>
      <c r="E33" s="2">
        <v>9</v>
      </c>
      <c r="F33" s="5">
        <v>3150</v>
      </c>
      <c r="G33" s="2" t="s">
        <v>16</v>
      </c>
      <c r="H33" s="2" t="s">
        <v>65</v>
      </c>
      <c r="I33" s="2">
        <v>4</v>
      </c>
      <c r="P33" s="6" t="str">
        <v>Natalie Cole</v>
      </c>
      <c r="T33" s="6" t="str">
        <f>IF(OR(main[[#This Row],[Units_Sold]]&gt;15,main[[#This Row],[Rating]]=5),"Star","No Star")</f>
        <v>No Star</v>
      </c>
      <c r="X33" s="6" t="str" cm="1">
        <f t="array" ref="X33">_xlfn.IFS(main[[#This Row],[Rating]]=5,"Excellent",main[[#This Row],[Rating]]=4,"Good",TRUE,"Average")</f>
        <v>Good</v>
      </c>
      <c r="AB33" s="6" t="str">
        <v>South</v>
      </c>
      <c r="AG33" s="6" t="str">
        <f>IF(AND(main[[#This Row],[Revenue]]&gt;9000,main[[#This Row],[Rating]]=5),"Premium Sale","Regular Sale")</f>
        <v>Regular Sale</v>
      </c>
      <c r="AK33" s="6" t="str">
        <f>IF(OR(main[[#This Row],[Units_Sold]]&lt;8,main[[#This Row],[Rating]]&lt;3),"Low Performance","Good Performance")</f>
        <v>Good Performance</v>
      </c>
    </row>
    <row r="34" spans="1:37">
      <c r="A34" s="2" t="s">
        <v>69</v>
      </c>
      <c r="B34" s="2" t="s">
        <v>20</v>
      </c>
      <c r="C34" s="2" t="s">
        <v>10</v>
      </c>
      <c r="D34" s="2" t="s">
        <v>13</v>
      </c>
      <c r="E34" s="2">
        <v>11</v>
      </c>
      <c r="F34" s="5">
        <v>3300</v>
      </c>
      <c r="G34" s="2" t="s">
        <v>23</v>
      </c>
      <c r="H34" s="2" t="s">
        <v>21</v>
      </c>
      <c r="I34" s="2">
        <v>5</v>
      </c>
      <c r="P34" s="6" t="str">
        <v>Ben Adams</v>
      </c>
      <c r="T34" s="6" t="str">
        <f>IF(OR(main[[#This Row],[Units_Sold]]&gt;15,main[[#This Row],[Rating]]=5),"Star","No Star")</f>
        <v>Star</v>
      </c>
      <c r="X34" s="6" t="str" cm="1">
        <f t="array" ref="X34">_xlfn.IFS(main[[#This Row],[Rating]]=5,"Excellent",main[[#This Row],[Rating]]=4,"Good",TRUE,"Average")</f>
        <v>Excellent</v>
      </c>
      <c r="AB34" s="6" t="str">
        <v>West</v>
      </c>
      <c r="AG34" s="6" t="str">
        <f>IF(AND(main[[#This Row],[Revenue]]&gt;9000,main[[#This Row],[Rating]]=5),"Premium Sale","Regular Sale")</f>
        <v>Regular Sale</v>
      </c>
      <c r="AK34" s="6" t="str">
        <f>IF(OR(main[[#This Row],[Units_Sold]]&lt;8,main[[#This Row],[Rating]]&lt;3),"Low Performance","Good Performance")</f>
        <v>Good Performance</v>
      </c>
    </row>
    <row r="35" spans="1:37">
      <c r="A35" s="2" t="s">
        <v>70</v>
      </c>
      <c r="B35" s="2" t="s">
        <v>30</v>
      </c>
      <c r="C35" s="2" t="s">
        <v>9</v>
      </c>
      <c r="D35" s="2" t="s">
        <v>12</v>
      </c>
      <c r="E35" s="2">
        <v>10</v>
      </c>
      <c r="F35" s="5">
        <v>9000</v>
      </c>
      <c r="G35" s="2" t="s">
        <v>16</v>
      </c>
      <c r="H35" s="2" t="s">
        <v>28</v>
      </c>
      <c r="I35" s="2">
        <v>4</v>
      </c>
      <c r="P35" s="6" t="str">
        <v>Carla James</v>
      </c>
      <c r="T35" s="6" t="str">
        <f>IF(OR(main[[#This Row],[Units_Sold]]&gt;15,main[[#This Row],[Rating]]=5),"Star","No Star")</f>
        <v>No Star</v>
      </c>
      <c r="X35" s="6" t="str" cm="1">
        <f t="array" ref="X35">_xlfn.IFS(main[[#This Row],[Rating]]=5,"Excellent",main[[#This Row],[Rating]]=4,"Good",TRUE,"Average")</f>
        <v>Good</v>
      </c>
      <c r="AB35" s="6" t="str">
        <v>North</v>
      </c>
      <c r="AG35" s="6" t="str">
        <f>IF(AND(main[[#This Row],[Revenue]]&gt;9000,main[[#This Row],[Rating]]=5),"Premium Sale","Regular Sale")</f>
        <v>Regular Sale</v>
      </c>
      <c r="AK35" s="6" t="str">
        <f>IF(OR(main[[#This Row],[Units_Sold]]&lt;8,main[[#This Row],[Rating]]&lt;3),"Low Performance","Good Performance")</f>
        <v>Good Performance</v>
      </c>
    </row>
    <row r="36" spans="1:37">
      <c r="A36" s="2" t="s">
        <v>71</v>
      </c>
      <c r="B36" s="2" t="s">
        <v>33</v>
      </c>
      <c r="C36" s="2" t="s">
        <v>7</v>
      </c>
      <c r="D36" s="2" t="s">
        <v>14</v>
      </c>
      <c r="E36" s="2">
        <v>8</v>
      </c>
      <c r="F36" s="5">
        <v>3600</v>
      </c>
      <c r="G36" s="2" t="s">
        <v>23</v>
      </c>
      <c r="H36" s="2" t="s">
        <v>31</v>
      </c>
      <c r="I36" s="2">
        <v>3</v>
      </c>
      <c r="P36" s="6" t="str">
        <v>Oliver Scott</v>
      </c>
      <c r="T36" s="6" t="str">
        <f>IF(OR(main[[#This Row],[Units_Sold]]&gt;15,main[[#This Row],[Rating]]=5),"Star","No Star")</f>
        <v>No Star</v>
      </c>
      <c r="X36" s="6" t="str" cm="1">
        <f t="array" ref="X36">_xlfn.IFS(main[[#This Row],[Rating]]=5,"Excellent",main[[#This Row],[Rating]]=4,"Good",TRUE,"Average")</f>
        <v>Average</v>
      </c>
      <c r="AB36" s="6" t="str">
        <v>South</v>
      </c>
      <c r="AG36" s="6" t="str">
        <f>IF(AND(main[[#This Row],[Revenue]]&gt;9000,main[[#This Row],[Rating]]=5),"Premium Sale","Regular Sale")</f>
        <v>Regular Sale</v>
      </c>
      <c r="AK36" s="6" t="str">
        <f>IF(OR(main[[#This Row],[Units_Sold]]&lt;8,main[[#This Row],[Rating]]&lt;3),"Low Performance","Good Performance")</f>
        <v>Good Performance</v>
      </c>
    </row>
    <row r="37" spans="1:37">
      <c r="A37" s="2" t="s">
        <v>72</v>
      </c>
      <c r="B37" s="2" t="s">
        <v>25</v>
      </c>
      <c r="C37" s="2" t="s">
        <v>10</v>
      </c>
      <c r="D37" s="2" t="s">
        <v>11</v>
      </c>
      <c r="E37" s="2">
        <v>7</v>
      </c>
      <c r="F37" s="5">
        <v>2450</v>
      </c>
      <c r="G37" s="2" t="s">
        <v>16</v>
      </c>
      <c r="H37" s="2" t="s">
        <v>35</v>
      </c>
      <c r="I37" s="2">
        <v>4</v>
      </c>
      <c r="P37" s="6" t="str">
        <v>Grace Hill</v>
      </c>
      <c r="T37" s="6" t="str">
        <f>IF(OR(main[[#This Row],[Units_Sold]]&gt;15,main[[#This Row],[Rating]]=5),"Star","No Star")</f>
        <v>No Star</v>
      </c>
      <c r="X37" s="6" t="str" cm="1">
        <f t="array" ref="X37">_xlfn.IFS(main[[#This Row],[Rating]]=5,"Excellent",main[[#This Row],[Rating]]=4,"Good",TRUE,"Average")</f>
        <v>Good</v>
      </c>
      <c r="AB37" s="6" t="str">
        <v>West</v>
      </c>
      <c r="AG37" s="6" t="str">
        <f>IF(AND(main[[#This Row],[Revenue]]&gt;9000,main[[#This Row],[Rating]]=5),"Premium Sale","Regular Sale")</f>
        <v>Regular Sale</v>
      </c>
      <c r="AK37" s="6" t="str">
        <f>IF(OR(main[[#This Row],[Units_Sold]]&lt;8,main[[#This Row],[Rating]]&lt;3),"Low Performance","Good Performance")</f>
        <v>Low Performance</v>
      </c>
    </row>
    <row r="38" spans="1:37">
      <c r="A38" s="2" t="s">
        <v>73</v>
      </c>
      <c r="B38" s="2" t="s">
        <v>20</v>
      </c>
      <c r="C38" s="2" t="s">
        <v>8</v>
      </c>
      <c r="D38" s="2" t="s">
        <v>12</v>
      </c>
      <c r="E38" s="2">
        <v>14</v>
      </c>
      <c r="F38" s="5">
        <v>11200</v>
      </c>
      <c r="G38" s="2" t="s">
        <v>16</v>
      </c>
      <c r="H38" s="2" t="s">
        <v>15</v>
      </c>
      <c r="I38" s="2">
        <v>5</v>
      </c>
      <c r="P38" s="6" t="str">
        <v>Samuel Reed</v>
      </c>
      <c r="T38" s="6" t="str">
        <f>IF(OR(main[[#This Row],[Units_Sold]]&gt;15,main[[#This Row],[Rating]]=5),"Star","No Star")</f>
        <v>Star</v>
      </c>
      <c r="X38" s="6" t="str" cm="1">
        <f t="array" ref="X38">_xlfn.IFS(main[[#This Row],[Rating]]=5,"Excellent",main[[#This Row],[Rating]]=4,"Good",TRUE,"Average")</f>
        <v>Excellent</v>
      </c>
      <c r="AB38" s="6" t="str">
        <v>East</v>
      </c>
      <c r="AG38" s="6" t="str">
        <f>IF(AND(main[[#This Row],[Revenue]]&gt;9000,main[[#This Row],[Rating]]=5),"Premium Sale","Regular Sale")</f>
        <v>Premium Sale</v>
      </c>
      <c r="AK38" s="6" t="str">
        <f>IF(OR(main[[#This Row],[Units_Sold]]&lt;8,main[[#This Row],[Rating]]&lt;3),"Low Performance","Good Performance")</f>
        <v>Good Performance</v>
      </c>
    </row>
    <row r="39" spans="1:37">
      <c r="A39" s="2" t="s">
        <v>74</v>
      </c>
      <c r="B39" s="2" t="s">
        <v>30</v>
      </c>
      <c r="C39" s="2" t="s">
        <v>9</v>
      </c>
      <c r="D39" s="2" t="s">
        <v>13</v>
      </c>
      <c r="E39" s="2">
        <v>6</v>
      </c>
      <c r="F39" s="5">
        <v>1800</v>
      </c>
      <c r="G39" s="2" t="s">
        <v>27</v>
      </c>
      <c r="H39" s="2" t="s">
        <v>41</v>
      </c>
      <c r="I39" s="2">
        <v>3</v>
      </c>
      <c r="P39" s="6" t="str">
        <v>Ella Turner</v>
      </c>
      <c r="T39" s="6" t="str">
        <f>IF(OR(main[[#This Row],[Units_Sold]]&gt;15,main[[#This Row],[Rating]]=5),"Star","No Star")</f>
        <v>No Star</v>
      </c>
      <c r="X39" s="6" t="str" cm="1">
        <f t="array" ref="X39">_xlfn.IFS(main[[#This Row],[Rating]]=5,"Excellent",main[[#This Row],[Rating]]=4,"Good",TRUE,"Average")</f>
        <v>Average</v>
      </c>
      <c r="AB39" s="6" t="str">
        <v>North</v>
      </c>
      <c r="AG39" s="6" t="str">
        <f>IF(AND(main[[#This Row],[Revenue]]&gt;9000,main[[#This Row],[Rating]]=5),"Premium Sale","Regular Sale")</f>
        <v>Regular Sale</v>
      </c>
      <c r="AK39" s="6" t="str">
        <f>IF(OR(main[[#This Row],[Units_Sold]]&lt;8,main[[#This Row],[Rating]]&lt;3),"Low Performance","Good Performance")</f>
        <v>Low Performance</v>
      </c>
    </row>
    <row r="40" spans="1:37">
      <c r="A40" s="2" t="s">
        <v>75</v>
      </c>
      <c r="B40" s="2" t="s">
        <v>33</v>
      </c>
      <c r="C40" s="2" t="s">
        <v>8</v>
      </c>
      <c r="D40" s="2" t="s">
        <v>11</v>
      </c>
      <c r="E40" s="2">
        <v>8</v>
      </c>
      <c r="F40" s="5">
        <v>2800</v>
      </c>
      <c r="G40" s="2" t="s">
        <v>23</v>
      </c>
      <c r="H40" s="2" t="s">
        <v>44</v>
      </c>
      <c r="I40" s="2">
        <v>4</v>
      </c>
      <c r="P40" s="6" t="str">
        <v>Robert King</v>
      </c>
      <c r="T40" s="6" t="str">
        <f>IF(OR(main[[#This Row],[Units_Sold]]&gt;15,main[[#This Row],[Rating]]=5),"Star","No Star")</f>
        <v>No Star</v>
      </c>
      <c r="X40" s="6" t="str" cm="1">
        <f t="array" ref="X40">_xlfn.IFS(main[[#This Row],[Rating]]=5,"Excellent",main[[#This Row],[Rating]]=4,"Good",TRUE,"Average")</f>
        <v>Good</v>
      </c>
      <c r="AB40" s="6" t="str">
        <v>East</v>
      </c>
      <c r="AG40" s="6" t="str">
        <f>IF(AND(main[[#This Row],[Revenue]]&gt;9000,main[[#This Row],[Rating]]=5),"Premium Sale","Regular Sale")</f>
        <v>Regular Sale</v>
      </c>
      <c r="AK40" s="6" t="str">
        <f>IF(OR(main[[#This Row],[Units_Sold]]&lt;8,main[[#This Row],[Rating]]&lt;3),"Low Performance","Good Performance")</f>
        <v>Good Performance</v>
      </c>
    </row>
    <row r="41" spans="1:37">
      <c r="A41" s="2" t="s">
        <v>76</v>
      </c>
      <c r="B41" s="2" t="s">
        <v>25</v>
      </c>
      <c r="C41" s="2" t="s">
        <v>7</v>
      </c>
      <c r="D41" s="2" t="s">
        <v>26</v>
      </c>
      <c r="E41" s="2">
        <v>9</v>
      </c>
      <c r="F41" s="5">
        <v>1350</v>
      </c>
      <c r="G41" s="2" t="s">
        <v>16</v>
      </c>
      <c r="H41" s="2" t="s">
        <v>48</v>
      </c>
      <c r="I41" s="2">
        <v>3</v>
      </c>
      <c r="P41" s="6" t="str">
        <v>Hannah Lee</v>
      </c>
      <c r="T41" s="6" t="str">
        <f>IF(OR(main[[#This Row],[Units_Sold]]&gt;15,main[[#This Row],[Rating]]=5),"Star","No Star")</f>
        <v>No Star</v>
      </c>
      <c r="X41" s="6" t="str" cm="1">
        <f t="array" ref="X41">_xlfn.IFS(main[[#This Row],[Rating]]=5,"Excellent",main[[#This Row],[Rating]]=4,"Good",TRUE,"Average")</f>
        <v>Average</v>
      </c>
      <c r="AB41" s="6" t="str">
        <v>South</v>
      </c>
      <c r="AG41" s="6" t="str">
        <f>IF(AND(main[[#This Row],[Revenue]]&gt;9000,main[[#This Row],[Rating]]=5),"Premium Sale","Regular Sale")</f>
        <v>Regular Sale</v>
      </c>
      <c r="AK41" s="6" t="str">
        <f>IF(OR(main[[#This Row],[Units_Sold]]&lt;8,main[[#This Row],[Rating]]&lt;3),"Low Performance","Good Performance")</f>
        <v>Good Performance</v>
      </c>
    </row>
    <row r="42" spans="1:37">
      <c r="A42" s="2" t="s">
        <v>77</v>
      </c>
      <c r="B42" s="2" t="s">
        <v>20</v>
      </c>
      <c r="C42" s="2" t="s">
        <v>9</v>
      </c>
      <c r="D42" s="2" t="s">
        <v>12</v>
      </c>
      <c r="E42" s="2">
        <v>13</v>
      </c>
      <c r="F42" s="5">
        <v>11700</v>
      </c>
      <c r="G42" s="2" t="s">
        <v>23</v>
      </c>
      <c r="H42" s="2" t="s">
        <v>52</v>
      </c>
      <c r="I42" s="2">
        <v>5</v>
      </c>
      <c r="P42" s="6" t="str">
        <v>Jake Brown</v>
      </c>
      <c r="T42" s="6" t="str">
        <f>IF(OR(main[[#This Row],[Units_Sold]]&gt;15,main[[#This Row],[Rating]]=5),"Star","No Star")</f>
        <v>Star</v>
      </c>
      <c r="X42" s="6" t="str" cm="1">
        <f t="array" ref="X42">_xlfn.IFS(main[[#This Row],[Rating]]=5,"Excellent",main[[#This Row],[Rating]]=4,"Good",TRUE,"Average")</f>
        <v>Excellent</v>
      </c>
      <c r="AB42" s="6" t="str">
        <v>North</v>
      </c>
      <c r="AG42" s="6" t="str">
        <f>IF(AND(main[[#This Row],[Revenue]]&gt;9000,main[[#This Row],[Rating]]=5),"Premium Sale","Regular Sale")</f>
        <v>Premium Sale</v>
      </c>
      <c r="AK42" s="6" t="str">
        <f>IF(OR(main[[#This Row],[Units_Sold]]&lt;8,main[[#This Row],[Rating]]&lt;3),"Low Performance","Good Performance")</f>
        <v>Good Performance</v>
      </c>
    </row>
    <row r="43" spans="1:37">
      <c r="A43" s="2" t="s">
        <v>78</v>
      </c>
      <c r="B43" s="2" t="s">
        <v>30</v>
      </c>
      <c r="C43" s="2" t="s">
        <v>8</v>
      </c>
      <c r="D43" s="2" t="s">
        <v>14</v>
      </c>
      <c r="E43" s="2">
        <v>10</v>
      </c>
      <c r="F43" s="5">
        <v>4500</v>
      </c>
      <c r="G43" s="2" t="s">
        <v>16</v>
      </c>
      <c r="H43" s="2" t="s">
        <v>56</v>
      </c>
      <c r="I43" s="2">
        <v>4</v>
      </c>
      <c r="P43" s="6" t="str">
        <v>Lily Evans</v>
      </c>
      <c r="T43" s="6" t="str">
        <f>IF(OR(main[[#This Row],[Units_Sold]]&gt;15,main[[#This Row],[Rating]]=5),"Star","No Star")</f>
        <v>No Star</v>
      </c>
      <c r="X43" s="6" t="str" cm="1">
        <f t="array" ref="X43">_xlfn.IFS(main[[#This Row],[Rating]]=5,"Excellent",main[[#This Row],[Rating]]=4,"Good",TRUE,"Average")</f>
        <v>Good</v>
      </c>
      <c r="AB43" s="6" t="str">
        <v>East</v>
      </c>
      <c r="AG43" s="6" t="str">
        <f>IF(AND(main[[#This Row],[Revenue]]&gt;9000,main[[#This Row],[Rating]]=5),"Premium Sale","Regular Sale")</f>
        <v>Regular Sale</v>
      </c>
      <c r="AK43" s="6" t="str">
        <f>IF(OR(main[[#This Row],[Units_Sold]]&lt;8,main[[#This Row],[Rating]]&lt;3),"Low Performance","Good Performance")</f>
        <v>Good Performance</v>
      </c>
    </row>
    <row r="44" spans="1:37">
      <c r="A44" s="2" t="s">
        <v>79</v>
      </c>
      <c r="B44" s="2" t="s">
        <v>33</v>
      </c>
      <c r="C44" s="2" t="s">
        <v>10</v>
      </c>
      <c r="D44" s="2" t="s">
        <v>13</v>
      </c>
      <c r="E44" s="2">
        <v>5</v>
      </c>
      <c r="F44" s="5">
        <v>1500</v>
      </c>
      <c r="G44" s="2" t="s">
        <v>27</v>
      </c>
      <c r="H44" s="2" t="s">
        <v>60</v>
      </c>
      <c r="I44" s="2">
        <v>3</v>
      </c>
      <c r="P44" s="6" t="str">
        <v>Daniel Price</v>
      </c>
      <c r="T44" s="6" t="str">
        <f>IF(OR(main[[#This Row],[Units_Sold]]&gt;15,main[[#This Row],[Rating]]=5),"Star","No Star")</f>
        <v>No Star</v>
      </c>
      <c r="X44" s="6" t="str" cm="1">
        <f t="array" ref="X44">_xlfn.IFS(main[[#This Row],[Rating]]=5,"Excellent",main[[#This Row],[Rating]]=4,"Good",TRUE,"Average")</f>
        <v>Average</v>
      </c>
      <c r="AB44" s="6" t="str">
        <v>West</v>
      </c>
      <c r="AG44" s="6" t="str">
        <f>IF(AND(main[[#This Row],[Revenue]]&gt;9000,main[[#This Row],[Rating]]=5),"Premium Sale","Regular Sale")</f>
        <v>Regular Sale</v>
      </c>
      <c r="AK44" s="6" t="str">
        <f>IF(OR(main[[#This Row],[Units_Sold]]&lt;8,main[[#This Row],[Rating]]&lt;3),"Low Performance","Good Performance")</f>
        <v>Low Performance</v>
      </c>
    </row>
    <row r="45" spans="1:37">
      <c r="A45" s="2" t="s">
        <v>80</v>
      </c>
      <c r="B45" s="2" t="s">
        <v>25</v>
      </c>
      <c r="C45" s="2" t="s">
        <v>7</v>
      </c>
      <c r="D45" s="2" t="s">
        <v>12</v>
      </c>
      <c r="E45" s="2">
        <v>12</v>
      </c>
      <c r="F45" s="5">
        <v>9600</v>
      </c>
      <c r="G45" s="2" t="s">
        <v>16</v>
      </c>
      <c r="H45" s="2" t="s">
        <v>65</v>
      </c>
      <c r="I45" s="2">
        <v>4</v>
      </c>
      <c r="P45" s="6" t="str">
        <v>Mia Walker</v>
      </c>
      <c r="T45" s="6" t="str">
        <f>IF(OR(main[[#This Row],[Units_Sold]]&gt;15,main[[#This Row],[Rating]]=5),"Star","No Star")</f>
        <v>No Star</v>
      </c>
      <c r="X45" s="6" t="str" cm="1">
        <f t="array" ref="X45">_xlfn.IFS(main[[#This Row],[Rating]]=5,"Excellent",main[[#This Row],[Rating]]=4,"Good",TRUE,"Average")</f>
        <v>Good</v>
      </c>
      <c r="AB45" s="6" t="str">
        <v>South</v>
      </c>
      <c r="AG45" s="6" t="str">
        <f>IF(AND(main[[#This Row],[Revenue]]&gt;9000,main[[#This Row],[Rating]]=5),"Premium Sale","Regular Sale")</f>
        <v>Regular Sale</v>
      </c>
      <c r="AK45" s="6" t="str">
        <f>IF(OR(main[[#This Row],[Units_Sold]]&lt;8,main[[#This Row],[Rating]]&lt;3),"Low Performance","Good Performance")</f>
        <v>Good Performance</v>
      </c>
    </row>
    <row r="46" spans="1:37">
      <c r="A46" s="2" t="s">
        <v>81</v>
      </c>
      <c r="B46" s="2" t="s">
        <v>20</v>
      </c>
      <c r="C46" s="2" t="s">
        <v>9</v>
      </c>
      <c r="D46" s="2" t="s">
        <v>11</v>
      </c>
      <c r="E46" s="2">
        <v>11</v>
      </c>
      <c r="F46" s="5">
        <v>3850</v>
      </c>
      <c r="G46" s="2" t="s">
        <v>23</v>
      </c>
      <c r="H46" s="2" t="s">
        <v>21</v>
      </c>
      <c r="I46" s="2">
        <v>5</v>
      </c>
      <c r="P46" s="6" t="str">
        <v>Noah Scott</v>
      </c>
      <c r="T46" s="6" t="str">
        <f>IF(OR(main[[#This Row],[Units_Sold]]&gt;15,main[[#This Row],[Rating]]=5),"Star","No Star")</f>
        <v>Star</v>
      </c>
      <c r="X46" s="6" t="str" cm="1">
        <f t="array" ref="X46">_xlfn.IFS(main[[#This Row],[Rating]]=5,"Excellent",main[[#This Row],[Rating]]=4,"Good",TRUE,"Average")</f>
        <v>Excellent</v>
      </c>
      <c r="AB46" s="6" t="str">
        <v>North</v>
      </c>
      <c r="AG46" s="6" t="str">
        <f>IF(AND(main[[#This Row],[Revenue]]&gt;9000,main[[#This Row],[Rating]]=5),"Premium Sale","Regular Sale")</f>
        <v>Regular Sale</v>
      </c>
      <c r="AK46" s="6" t="str">
        <f>IF(OR(main[[#This Row],[Units_Sold]]&lt;8,main[[#This Row],[Rating]]&lt;3),"Low Performance","Good Performance")</f>
        <v>Good Performance</v>
      </c>
    </row>
    <row r="47" spans="1:37">
      <c r="A47" s="2" t="s">
        <v>82</v>
      </c>
      <c r="B47" s="2" t="s">
        <v>30</v>
      </c>
      <c r="C47" s="2" t="s">
        <v>8</v>
      </c>
      <c r="D47" s="2" t="s">
        <v>26</v>
      </c>
      <c r="E47" s="2">
        <v>9</v>
      </c>
      <c r="F47" s="5">
        <v>1350</v>
      </c>
      <c r="G47" s="2" t="s">
        <v>16</v>
      </c>
      <c r="H47" s="2" t="s">
        <v>28</v>
      </c>
      <c r="I47" s="2">
        <v>4</v>
      </c>
      <c r="P47" s="6" t="str">
        <v>Ava Gray</v>
      </c>
      <c r="T47" s="6" t="str">
        <f>IF(OR(main[[#This Row],[Units_Sold]]&gt;15,main[[#This Row],[Rating]]=5),"Star","No Star")</f>
        <v>No Star</v>
      </c>
      <c r="X47" s="6" t="str" cm="1">
        <f t="array" ref="X47">_xlfn.IFS(main[[#This Row],[Rating]]=5,"Excellent",main[[#This Row],[Rating]]=4,"Good",TRUE,"Average")</f>
        <v>Good</v>
      </c>
      <c r="AB47" s="6" t="str">
        <v>East</v>
      </c>
      <c r="AG47" s="6" t="str">
        <f>IF(AND(main[[#This Row],[Revenue]]&gt;9000,main[[#This Row],[Rating]]=5),"Premium Sale","Regular Sale")</f>
        <v>Regular Sale</v>
      </c>
      <c r="AK47" s="6" t="str">
        <f>IF(OR(main[[#This Row],[Units_Sold]]&lt;8,main[[#This Row],[Rating]]&lt;3),"Low Performance","Good Performance")</f>
        <v>Good Performance</v>
      </c>
    </row>
    <row r="48" spans="1:37">
      <c r="A48" s="2" t="s">
        <v>83</v>
      </c>
      <c r="B48" s="2" t="s">
        <v>33</v>
      </c>
      <c r="C48" s="2" t="s">
        <v>10</v>
      </c>
      <c r="D48" s="2" t="s">
        <v>12</v>
      </c>
      <c r="E48" s="2">
        <v>8</v>
      </c>
      <c r="F48" s="5">
        <v>6000</v>
      </c>
      <c r="G48" s="2" t="s">
        <v>23</v>
      </c>
      <c r="H48" s="2" t="s">
        <v>31</v>
      </c>
      <c r="I48" s="2">
        <v>3</v>
      </c>
      <c r="P48" s="6" t="str">
        <v>Jack Ward</v>
      </c>
      <c r="T48" s="6" t="str">
        <f>IF(OR(main[[#This Row],[Units_Sold]]&gt;15,main[[#This Row],[Rating]]=5),"Star","No Star")</f>
        <v>No Star</v>
      </c>
      <c r="X48" s="6" t="str" cm="1">
        <f t="array" ref="X48">_xlfn.IFS(main[[#This Row],[Rating]]=5,"Excellent",main[[#This Row],[Rating]]=4,"Good",TRUE,"Average")</f>
        <v>Average</v>
      </c>
      <c r="AB48" s="6" t="str">
        <v>West</v>
      </c>
      <c r="AG48" s="6" t="str">
        <f>IF(AND(main[[#This Row],[Revenue]]&gt;9000,main[[#This Row],[Rating]]=5),"Premium Sale","Regular Sale")</f>
        <v>Regular Sale</v>
      </c>
      <c r="AK48" s="6" t="str">
        <f>IF(OR(main[[#This Row],[Units_Sold]]&lt;8,main[[#This Row],[Rating]]&lt;3),"Low Performance","Good Performance")</f>
        <v>Good Performance</v>
      </c>
    </row>
    <row r="49" spans="1:37">
      <c r="A49" s="2" t="s">
        <v>84</v>
      </c>
      <c r="B49" s="2" t="s">
        <v>25</v>
      </c>
      <c r="C49" s="2" t="s">
        <v>7</v>
      </c>
      <c r="D49" s="2" t="s">
        <v>13</v>
      </c>
      <c r="E49" s="2">
        <v>10</v>
      </c>
      <c r="F49" s="5">
        <v>3000</v>
      </c>
      <c r="G49" s="2" t="s">
        <v>16</v>
      </c>
      <c r="H49" s="2" t="s">
        <v>35</v>
      </c>
      <c r="I49" s="2">
        <v>4</v>
      </c>
      <c r="P49" s="6" t="str">
        <v>Lily Parker</v>
      </c>
      <c r="T49" s="6" t="str">
        <f>IF(OR(main[[#This Row],[Units_Sold]]&gt;15,main[[#This Row],[Rating]]=5),"Star","No Star")</f>
        <v>No Star</v>
      </c>
      <c r="X49" s="6" t="str" cm="1">
        <f t="array" ref="X49">_xlfn.IFS(main[[#This Row],[Rating]]=5,"Excellent",main[[#This Row],[Rating]]=4,"Good",TRUE,"Average")</f>
        <v>Good</v>
      </c>
      <c r="AB49" s="6" t="str">
        <v>South</v>
      </c>
      <c r="AG49" s="6" t="str">
        <f>IF(AND(main[[#This Row],[Revenue]]&gt;9000,main[[#This Row],[Rating]]=5),"Premium Sale","Regular Sale")</f>
        <v>Regular Sale</v>
      </c>
      <c r="AK49" s="6" t="str">
        <f>IF(OR(main[[#This Row],[Units_Sold]]&lt;8,main[[#This Row],[Rating]]&lt;3),"Low Performance","Good Performance")</f>
        <v>Good Performance</v>
      </c>
    </row>
    <row r="50" spans="1:37">
      <c r="A50" s="2" t="s">
        <v>85</v>
      </c>
      <c r="B50" s="2" t="s">
        <v>20</v>
      </c>
      <c r="C50" s="2" t="s">
        <v>8</v>
      </c>
      <c r="D50" s="2" t="s">
        <v>11</v>
      </c>
      <c r="E50" s="2">
        <v>14</v>
      </c>
      <c r="F50" s="5">
        <v>4900</v>
      </c>
      <c r="G50" s="2" t="s">
        <v>27</v>
      </c>
      <c r="H50" s="2" t="s">
        <v>15</v>
      </c>
      <c r="I50" s="2">
        <v>5</v>
      </c>
      <c r="P50" s="6" t="str">
        <v>Oscar Hill</v>
      </c>
      <c r="T50" s="6" t="str">
        <f>IF(OR(main[[#This Row],[Units_Sold]]&gt;15,main[[#This Row],[Rating]]=5),"Star","No Star")</f>
        <v>Star</v>
      </c>
      <c r="X50" s="6" t="str" cm="1">
        <f t="array" ref="X50">_xlfn.IFS(main[[#This Row],[Rating]]=5,"Excellent",main[[#This Row],[Rating]]=4,"Good",TRUE,"Average")</f>
        <v>Excellent</v>
      </c>
      <c r="AB50" s="6" t="str">
        <v>East</v>
      </c>
      <c r="AG50" s="6" t="str">
        <f>IF(AND(main[[#This Row],[Revenue]]&gt;9000,main[[#This Row],[Rating]]=5),"Premium Sale","Regular Sale")</f>
        <v>Regular Sale</v>
      </c>
      <c r="AK50" s="6" t="str">
        <f>IF(OR(main[[#This Row],[Units_Sold]]&lt;8,main[[#This Row],[Rating]]&lt;3),"Low Performance","Good Performance")</f>
        <v>Good Performance</v>
      </c>
    </row>
    <row r="51" spans="1:37">
      <c r="A51" s="2" t="s">
        <v>86</v>
      </c>
      <c r="B51" s="2" t="s">
        <v>30</v>
      </c>
      <c r="C51" s="2" t="s">
        <v>9</v>
      </c>
      <c r="D51" s="2" t="s">
        <v>12</v>
      </c>
      <c r="E51" s="2">
        <v>11</v>
      </c>
      <c r="F51" s="5">
        <v>9900</v>
      </c>
      <c r="G51" s="2" t="s">
        <v>16</v>
      </c>
      <c r="H51" s="2" t="s">
        <v>41</v>
      </c>
      <c r="I51" s="2">
        <v>4</v>
      </c>
      <c r="P51" s="6" t="str">
        <v>Zoe King</v>
      </c>
      <c r="T51" s="6" t="str">
        <f>IF(OR(main[[#This Row],[Units_Sold]]&gt;15,main[[#This Row],[Rating]]=5),"Star","No Star")</f>
        <v>No Star</v>
      </c>
      <c r="X51" s="6" t="str" cm="1">
        <f t="array" ref="X51">_xlfn.IFS(main[[#This Row],[Rating]]=5,"Excellent",main[[#This Row],[Rating]]=4,"Good",TRUE,"Average")</f>
        <v>Good</v>
      </c>
      <c r="AB51" s="6" t="str">
        <v>North</v>
      </c>
      <c r="AG51" s="6" t="str">
        <f>IF(AND(main[[#This Row],[Revenue]]&gt;9000,main[[#This Row],[Rating]]=5),"Premium Sale","Regular Sale")</f>
        <v>Regular Sale</v>
      </c>
      <c r="AK51" s="6" t="str">
        <f>IF(OR(main[[#This Row],[Units_Sold]]&lt;8,main[[#This Row],[Rating]]&lt;3),"Low Performance","Good Performance")</f>
        <v>Good Performance</v>
      </c>
    </row>
  </sheetData>
  <phoneticPr fontId="3" type="noConversion"/>
  <conditionalFormatting sqref="A2:I51">
    <cfRule type="expression" dxfId="12" priority="1">
      <formula>AND($I1048567&lt;4,$B1048567="Finance")</formula>
    </cfRule>
    <cfRule type="expression" dxfId="11" priority="2">
      <formula>AND($E2&gt;12,$G2="Corporate")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2025-10-28T02:30:43Z</dcterms:created>
  <dcterms:modified xsi:type="dcterms:W3CDTF">2025-11-05T16:45:27Z</dcterms:modified>
</cp:coreProperties>
</file>