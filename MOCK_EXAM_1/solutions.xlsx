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MOCK_EXAM_1\"/>
    </mc:Choice>
  </mc:AlternateContent>
  <xr:revisionPtr revIDLastSave="0" documentId="13_ncr:1_{D65F3198-8133-49C1-A851-395C080489D1}" xr6:coauthVersionLast="47" xr6:coauthVersionMax="47" xr10:uidLastSave="{00000000-0000-0000-0000-000000000000}"/>
  <bookViews>
    <workbookView xWindow="-110" yWindow="-110" windowWidth="19420" windowHeight="10420" tabRatio="623" xr2:uid="{00000000-000D-0000-FFFF-FFFF00000000}"/>
  </bookViews>
  <sheets>
    <sheet name="DATA" sheetId="1" r:id="rId1"/>
    <sheet name="TASK 13" sheetId="2" r:id="rId2"/>
    <sheet name="TASK 14" sheetId="3" r:id="rId3"/>
  </sheets>
  <definedNames>
    <definedName name="Category">DATA!$E$2:$E$51</definedName>
    <definedName name="Customer_Segment">DATA!$K$2:$K$51</definedName>
    <definedName name="Discount">DATA!$I$2:$I$51</definedName>
    <definedName name="ID">DATA!$A$2:$A$51</definedName>
    <definedName name="Month">DATA!$F$2:$F$51</definedName>
    <definedName name="Product">DATA!$D$2:$D$51</definedName>
    <definedName name="Rating">DATA!$L$2:$L$51</definedName>
    <definedName name="Region">DATA!$B$2:$B$51</definedName>
    <definedName name="Remarks">DATA!$M$2:$M$51</definedName>
    <definedName name="Revenue">DATA!$J$2:$J$51</definedName>
    <definedName name="SalesData">DATA!$A$1:$M$51</definedName>
    <definedName name="Salesperson">DATA!$C$2:$C$51</definedName>
    <definedName name="Unit_Price">DATA!$H$2:$H$51</definedName>
    <definedName name="Units_Sold">DATA!$G$2:$G$51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 a="1"/>
  <c r="Q2" i="1" s="1"/>
  <c r="P3" i="1"/>
  <c r="AD2" i="1"/>
  <c r="AB2" i="1"/>
  <c r="Z3" i="1" a="1"/>
  <c r="Z3" i="1" s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51" i="1" a="1"/>
  <c r="Z51" i="1" s="1"/>
  <c r="Z2" i="1" a="1"/>
  <c r="Z2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2" i="1"/>
  <c r="U2" i="1" a="1"/>
  <c r="U2" i="1" s="1"/>
  <c r="T2" i="1"/>
  <c r="S2" i="1"/>
  <c r="O2" i="1"/>
  <c r="J4" i="1"/>
  <c r="P4" i="1" s="1"/>
  <c r="J5" i="1"/>
  <c r="P5" i="1" s="1"/>
  <c r="J6" i="1"/>
  <c r="P6" i="1" s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P13" i="1" s="1"/>
  <c r="J14" i="1"/>
  <c r="P14" i="1" s="1"/>
  <c r="J15" i="1"/>
  <c r="P15" i="1" s="1"/>
  <c r="J16" i="1"/>
  <c r="P16" i="1" s="1"/>
  <c r="J17" i="1"/>
  <c r="P17" i="1" s="1"/>
  <c r="J18" i="1"/>
  <c r="P18" i="1" s="1"/>
  <c r="J19" i="1"/>
  <c r="P19" i="1" s="1"/>
  <c r="J20" i="1"/>
  <c r="P20" i="1" s="1"/>
  <c r="J21" i="1"/>
  <c r="P21" i="1" s="1"/>
  <c r="J22" i="1"/>
  <c r="P22" i="1" s="1"/>
  <c r="J23" i="1"/>
  <c r="P23" i="1" s="1"/>
  <c r="J24" i="1"/>
  <c r="P24" i="1" s="1"/>
  <c r="J25" i="1"/>
  <c r="P25" i="1" s="1"/>
  <c r="J26" i="1"/>
  <c r="P26" i="1" s="1"/>
  <c r="J27" i="1"/>
  <c r="P27" i="1" s="1"/>
  <c r="J28" i="1"/>
  <c r="P28" i="1" s="1"/>
  <c r="J29" i="1"/>
  <c r="P29" i="1" s="1"/>
  <c r="J30" i="1"/>
  <c r="P30" i="1" s="1"/>
  <c r="J31" i="1"/>
  <c r="P31" i="1" s="1"/>
  <c r="J32" i="1"/>
  <c r="P32" i="1" s="1"/>
  <c r="J33" i="1"/>
  <c r="P33" i="1" s="1"/>
  <c r="J34" i="1"/>
  <c r="P34" i="1" s="1"/>
  <c r="J35" i="1"/>
  <c r="P35" i="1" s="1"/>
  <c r="J36" i="1"/>
  <c r="P36" i="1" s="1"/>
  <c r="J37" i="1"/>
  <c r="P37" i="1" s="1"/>
  <c r="J38" i="1"/>
  <c r="P38" i="1" s="1"/>
  <c r="J39" i="1"/>
  <c r="P39" i="1" s="1"/>
  <c r="J40" i="1"/>
  <c r="P40" i="1" s="1"/>
  <c r="J41" i="1"/>
  <c r="P41" i="1" s="1"/>
  <c r="J42" i="1"/>
  <c r="P42" i="1" s="1"/>
  <c r="J43" i="1"/>
  <c r="P43" i="1" s="1"/>
  <c r="J44" i="1"/>
  <c r="P44" i="1" s="1"/>
  <c r="J45" i="1"/>
  <c r="P45" i="1" s="1"/>
  <c r="J46" i="1"/>
  <c r="P46" i="1" s="1"/>
  <c r="J47" i="1"/>
  <c r="P47" i="1" s="1"/>
  <c r="J48" i="1"/>
  <c r="P48" i="1" s="1"/>
  <c r="J49" i="1"/>
  <c r="P49" i="1" s="1"/>
  <c r="J50" i="1"/>
  <c r="P50" i="1" s="1"/>
  <c r="J51" i="1"/>
  <c r="P51" i="1" s="1"/>
  <c r="J2" i="1"/>
  <c r="P2" i="1" s="1"/>
  <c r="AC2" i="1" l="1"/>
  <c r="AE2" i="1" a="1"/>
  <c r="AE2" i="1" s="1"/>
  <c r="AA2" i="1"/>
  <c r="AA5" i="1"/>
  <c r="AA8" i="1"/>
  <c r="AA4" i="1"/>
  <c r="AA6" i="1"/>
  <c r="AA7" i="1"/>
  <c r="AA3" i="1"/>
  <c r="X2" i="1"/>
  <c r="V2" i="1" a="1"/>
  <c r="V2" i="1" s="1"/>
  <c r="R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<sst xmlns="http://schemas.openxmlformats.org/spreadsheetml/2006/main" count="455" uniqueCount="80">
  <si>
    <t>ID</t>
  </si>
  <si>
    <t>Region</t>
  </si>
  <si>
    <t>Salesperson</t>
  </si>
  <si>
    <t>Product</t>
  </si>
  <si>
    <t>Category</t>
  </si>
  <si>
    <t>Month</t>
  </si>
  <si>
    <t>Units_Sold</t>
  </si>
  <si>
    <t>Unit_Price</t>
  </si>
  <si>
    <t>Discount</t>
  </si>
  <si>
    <t>Revenue</t>
  </si>
  <si>
    <t>Customer_Segment</t>
  </si>
  <si>
    <t>Rating</t>
  </si>
  <si>
    <t>Remarks</t>
  </si>
  <si>
    <t>South</t>
  </si>
  <si>
    <t>East</t>
  </si>
  <si>
    <t>North</t>
  </si>
  <si>
    <t>West</t>
  </si>
  <si>
    <t>Carol</t>
  </si>
  <si>
    <t>David</t>
  </si>
  <si>
    <t>Alice</t>
  </si>
  <si>
    <t>Bob</t>
  </si>
  <si>
    <t>Grace</t>
  </si>
  <si>
    <t>Jane</t>
  </si>
  <si>
    <t>Ian</t>
  </si>
  <si>
    <t>Frank</t>
  </si>
  <si>
    <t>Emma</t>
  </si>
  <si>
    <t>Helen</t>
  </si>
  <si>
    <t>Monitor</t>
  </si>
  <si>
    <t>Laptop</t>
  </si>
  <si>
    <t>Chair</t>
  </si>
  <si>
    <t>Printer</t>
  </si>
  <si>
    <t>Tablet</t>
  </si>
  <si>
    <t>Desk</t>
  </si>
  <si>
    <t>Electronics</t>
  </si>
  <si>
    <t>Furniture</t>
  </si>
  <si>
    <t>Office</t>
  </si>
  <si>
    <t>Jun</t>
  </si>
  <si>
    <t>May</t>
  </si>
  <si>
    <t>Feb</t>
  </si>
  <si>
    <t>Jan</t>
  </si>
  <si>
    <t>Mar</t>
  </si>
  <si>
    <t>Apr</t>
  </si>
  <si>
    <t>10%</t>
  </si>
  <si>
    <t>0%</t>
  </si>
  <si>
    <t>5%</t>
  </si>
  <si>
    <t>Corporate</t>
  </si>
  <si>
    <t>Education</t>
  </si>
  <si>
    <t>Retail</t>
  </si>
  <si>
    <t>late payment</t>
  </si>
  <si>
    <t>good sale</t>
  </si>
  <si>
    <t>loyal client</t>
  </si>
  <si>
    <t>fast mover</t>
  </si>
  <si>
    <t>regular order</t>
  </si>
  <si>
    <t>high demand</t>
  </si>
  <si>
    <t>damaged box</t>
  </si>
  <si>
    <t>fast delivery</t>
  </si>
  <si>
    <t>steady buyer</t>
  </si>
  <si>
    <t>new order</t>
  </si>
  <si>
    <t>TASK 1</t>
  </si>
  <si>
    <t>TASK 2</t>
  </si>
  <si>
    <t>TASK 6</t>
  </si>
  <si>
    <t>TASK 7</t>
  </si>
  <si>
    <t>TASK 8</t>
  </si>
  <si>
    <t>TASK 9</t>
  </si>
  <si>
    <t>TASK 11</t>
  </si>
  <si>
    <t>TASK 12</t>
  </si>
  <si>
    <t>TASK 15</t>
  </si>
  <si>
    <t>TASK 16</t>
  </si>
  <si>
    <t>TASK 17</t>
  </si>
  <si>
    <t>TASK 18</t>
  </si>
  <si>
    <t>TASK 21</t>
  </si>
  <si>
    <t>TASK 27</t>
  </si>
  <si>
    <t>TASK 28</t>
  </si>
  <si>
    <t>TASK 29</t>
  </si>
  <si>
    <t>TASK 30</t>
  </si>
  <si>
    <t>Row Labels</t>
  </si>
  <si>
    <t>Grand Total</t>
  </si>
  <si>
    <t>Sum of Revenue</t>
  </si>
  <si>
    <t>Sum of Revenue per Unit</t>
  </si>
  <si>
    <t>Portable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</si>
</sst>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.##0\ &quot;₼&quot;_-;\-* #.##0\ &quot;₼&quot;_-;_-* &quot;-&quot;\ &quot;₼&quot;_-;_-@_-"/>
    <numFmt numFmtId="165" formatCode="_-* #\ &quot;₼&quot;_-;\-* #\ &quot;₼&quot;_-;_-* &quot;-&quot;\ &quot;₼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4" fillId="2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1"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63.966654050928" createdVersion="8" refreshedVersion="8" minRefreshableVersion="3" recordCount="50" xr:uid="{FF95F396-2BAB-47DD-9D8C-2AF4CD00C923}">
  <cacheSource type="worksheet">
    <worksheetSource ref="A1:M51" sheet="DATA"/>
  </cacheSource>
  <cacheFields count="14">
    <cacheField name="ID" numFmtId="0">
      <sharedItems containsSemiMixedTypes="0" containsString="0" containsNumber="1" containsInteger="1" minValue="1" maxValue="50"/>
    </cacheField>
    <cacheField name="Region" numFmtId="0">
      <sharedItems count="4">
        <s v="South"/>
        <s v="East"/>
        <s v="North"/>
        <s v="West"/>
      </sharedItems>
    </cacheField>
    <cacheField name="Salesperson" numFmtId="0">
      <sharedItems/>
    </cacheField>
    <cacheField name="Product" numFmtId="0">
      <sharedItems count="7">
        <s v="Monitor"/>
        <s v="Laptop"/>
        <s v="Chair"/>
        <s v="Printer"/>
        <s v="Tablet"/>
        <s v="Desk"/>
        <s v="Portable Devices" f="1"/>
      </sharedItems>
    </cacheField>
    <cacheField name="Category" numFmtId="0">
      <sharedItems count="3">
        <s v="Electronics"/>
        <s v="Furniture"/>
        <s v="Office"/>
      </sharedItems>
    </cacheField>
    <cacheField name="Month" numFmtId="0">
      <sharedItems/>
    </cacheField>
    <cacheField name="Units_Sold" numFmtId="0">
      <sharedItems containsSemiMixedTypes="0" containsString="0" containsNumber="1" containsInteger="1" minValue="6" maxValue="30"/>
    </cacheField>
    <cacheField name="Unit_Price" numFmtId="0">
      <sharedItems containsSemiMixedTypes="0" containsString="0" containsNumber="1" containsInteger="1" minValue="120" maxValue="850"/>
    </cacheField>
    <cacheField name="Discount" numFmtId="9">
      <sharedItems containsMixedTypes="1" containsNumber="1" minValue="0.05" maxValue="0.05"/>
    </cacheField>
    <cacheField name="Revenue" numFmtId="165">
      <sharedItems containsSemiMixedTypes="0" containsString="0" containsNumber="1" minValue="864" maxValue="19760" count="45">
        <n v="864"/>
        <n v="8800"/>
        <n v="18400"/>
        <n v="3705"/>
        <n v="5920"/>
        <n v="12960"/>
        <n v="2280"/>
        <n v="2340"/>
        <n v="8505"/>
        <n v="2205"/>
        <n v="5415"/>
        <n v="3240"/>
        <n v="3420"/>
        <n v="5040"/>
        <n v="2052"/>
        <n v="4900"/>
        <n v="2400"/>
        <n v="5950"/>
        <n v="10400"/>
        <n v="17850"/>
        <n v="8050"/>
        <n v="6982.5"/>
        <n v="6650"/>
        <n v="13680"/>
        <n v="4200"/>
        <n v="5355"/>
        <n v="10080"/>
        <n v="2484"/>
        <n v="1200"/>
        <n v="4800"/>
        <n v="3990"/>
        <n v="7326"/>
        <n v="4329"/>
        <n v="7400"/>
        <n v="9250"/>
        <n v="1026"/>
        <n v="8400"/>
        <n v="9975"/>
        <n v="10830"/>
        <n v="5550"/>
        <n v="13200"/>
        <n v="18240"/>
        <n v="7647.5"/>
        <n v="19760"/>
        <n v="4590"/>
      </sharedItems>
    </cacheField>
    <cacheField name="Customer_Segment" numFmtId="0">
      <sharedItems/>
    </cacheField>
    <cacheField name="Rating" numFmtId="0">
      <sharedItems containsSemiMixedTypes="0" containsString="0" containsNumber="1" minValue="3.5" maxValue="4.8"/>
    </cacheField>
    <cacheField name="Remarks" numFmtId="0">
      <sharedItems/>
    </cacheField>
    <cacheField name="Revenue per Unit" numFmtId="0" formula="Units_Sold*Unit_Price" databaseField="0"/>
  </cacheFields>
  <calculatedItems count="1">
    <calculatedItem formula="Product[Laptop]+Product[Tablet]">
      <pivotArea cacheIndex="1" outline="0" fieldPosition="0">
        <references count="1">
          <reference field="3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s v="Carol"/>
    <x v="0"/>
    <x v="0"/>
    <s v="Jun"/>
    <n v="8"/>
    <n v="120"/>
    <s v="10%"/>
    <x v="0"/>
    <s v="Corporate"/>
    <n v="3.9"/>
    <s v="late payment"/>
  </r>
  <r>
    <n v="2"/>
    <x v="0"/>
    <s v="David"/>
    <x v="1"/>
    <x v="0"/>
    <s v="May"/>
    <n v="23"/>
    <n v="800"/>
    <s v="0%"/>
    <x v="1"/>
    <s v="Education"/>
    <n v="3.5"/>
    <s v="good sale"/>
  </r>
  <r>
    <n v="3"/>
    <x v="1"/>
    <s v="Alice"/>
    <x v="2"/>
    <x v="1"/>
    <s v="Feb"/>
    <n v="11"/>
    <n v="800"/>
    <s v="0%"/>
    <x v="2"/>
    <s v="Education"/>
    <n v="4.0999999999999996"/>
    <s v="loyal client"/>
  </r>
  <r>
    <n v="4"/>
    <x v="1"/>
    <s v="Bob"/>
    <x v="3"/>
    <x v="2"/>
    <s v="Jan"/>
    <n v="13"/>
    <n v="300"/>
    <n v="0.05"/>
    <x v="3"/>
    <s v="Retail"/>
    <n v="4.7"/>
    <s v="fast mover"/>
  </r>
  <r>
    <n v="5"/>
    <x v="2"/>
    <s v="Grace"/>
    <x v="3"/>
    <x v="2"/>
    <s v="Jan"/>
    <n v="16"/>
    <n v="370"/>
    <s v="0%"/>
    <x v="4"/>
    <s v="Education"/>
    <n v="4.4000000000000004"/>
    <s v="regular order"/>
  </r>
  <r>
    <n v="6"/>
    <x v="2"/>
    <s v="Alice"/>
    <x v="0"/>
    <x v="0"/>
    <s v="Jun"/>
    <n v="24"/>
    <n v="600"/>
    <s v="10%"/>
    <x v="5"/>
    <s v="Corporate"/>
    <n v="3.7"/>
    <s v="regular order"/>
  </r>
  <r>
    <n v="7"/>
    <x v="1"/>
    <s v="Carol"/>
    <x v="1"/>
    <x v="0"/>
    <s v="Mar"/>
    <n v="12"/>
    <n v="200"/>
    <s v="5%"/>
    <x v="6"/>
    <s v="Retail"/>
    <n v="3.9"/>
    <s v="high demand"/>
  </r>
  <r>
    <n v="8"/>
    <x v="0"/>
    <s v="Carol"/>
    <x v="0"/>
    <x v="0"/>
    <s v="Apr"/>
    <n v="13"/>
    <n v="200"/>
    <s v="10%"/>
    <x v="7"/>
    <s v="Retail"/>
    <n v="4.3"/>
    <s v="regular order"/>
  </r>
  <r>
    <n v="9"/>
    <x v="2"/>
    <s v="David"/>
    <x v="0"/>
    <x v="0"/>
    <s v="Jan"/>
    <n v="27"/>
    <n v="350"/>
    <s v="10%"/>
    <x v="8"/>
    <s v="Retail"/>
    <n v="3.9"/>
    <s v="loyal client"/>
  </r>
  <r>
    <n v="10"/>
    <x v="1"/>
    <s v="David"/>
    <x v="3"/>
    <x v="2"/>
    <s v="Jun"/>
    <n v="7"/>
    <n v="350"/>
    <s v="10%"/>
    <x v="9"/>
    <s v="Retail"/>
    <n v="4.5999999999999996"/>
    <s v="loyal client"/>
  </r>
  <r>
    <n v="11"/>
    <x v="1"/>
    <s v="Jane"/>
    <x v="0"/>
    <x v="0"/>
    <s v="Apr"/>
    <n v="19"/>
    <n v="300"/>
    <s v="5%"/>
    <x v="10"/>
    <s v="Education"/>
    <n v="3.7"/>
    <s v="loyal client"/>
  </r>
  <r>
    <n v="12"/>
    <x v="2"/>
    <s v="Bob"/>
    <x v="3"/>
    <x v="2"/>
    <s v="Feb"/>
    <n v="12"/>
    <n v="300"/>
    <s v="10%"/>
    <x v="11"/>
    <s v="Education"/>
    <n v="4.0999999999999996"/>
    <s v="damaged box"/>
  </r>
  <r>
    <n v="13"/>
    <x v="3"/>
    <s v="Ian"/>
    <x v="0"/>
    <x v="0"/>
    <s v="Mar"/>
    <n v="18"/>
    <n v="200"/>
    <s v="5%"/>
    <x v="12"/>
    <s v="Education"/>
    <n v="4"/>
    <s v="good sale"/>
  </r>
  <r>
    <n v="14"/>
    <x v="1"/>
    <s v="Frank"/>
    <x v="0"/>
    <x v="0"/>
    <s v="Jan"/>
    <n v="28"/>
    <n v="200"/>
    <s v="10%"/>
    <x v="13"/>
    <s v="Retail"/>
    <n v="4.7"/>
    <s v="loyal client"/>
  </r>
  <r>
    <n v="15"/>
    <x v="1"/>
    <s v="Ian"/>
    <x v="4"/>
    <x v="0"/>
    <s v="Feb"/>
    <n v="19"/>
    <n v="120"/>
    <s v="10%"/>
    <x v="14"/>
    <s v="Education"/>
    <n v="4.5999999999999996"/>
    <s v="fast mover"/>
  </r>
  <r>
    <n v="16"/>
    <x v="0"/>
    <s v="Ian"/>
    <x v="0"/>
    <x v="0"/>
    <s v="May"/>
    <n v="14"/>
    <n v="350"/>
    <s v="0%"/>
    <x v="15"/>
    <s v="Corporate"/>
    <n v="4"/>
    <s v="fast delivery"/>
  </r>
  <r>
    <n v="17"/>
    <x v="1"/>
    <s v="David"/>
    <x v="3"/>
    <x v="2"/>
    <s v="Jan"/>
    <n v="20"/>
    <n v="120"/>
    <s v="0%"/>
    <x v="16"/>
    <s v="Corporate"/>
    <n v="4.7"/>
    <s v="fast delivery"/>
  </r>
  <r>
    <n v="18"/>
    <x v="0"/>
    <s v="Carol"/>
    <x v="1"/>
    <x v="0"/>
    <s v="Jun"/>
    <n v="7"/>
    <n v="850"/>
    <s v="0%"/>
    <x v="17"/>
    <s v="Retail"/>
    <n v="4.8"/>
    <s v="late payment"/>
  </r>
  <r>
    <n v="19"/>
    <x v="0"/>
    <s v="Emma"/>
    <x v="4"/>
    <x v="0"/>
    <s v="Apr"/>
    <n v="13"/>
    <n v="800"/>
    <s v="0%"/>
    <x v="18"/>
    <s v="Education"/>
    <n v="4.7"/>
    <s v="steady buyer"/>
  </r>
  <r>
    <n v="20"/>
    <x v="2"/>
    <s v="Frank"/>
    <x v="5"/>
    <x v="1"/>
    <s v="Jan"/>
    <n v="21"/>
    <n v="850"/>
    <s v="0%"/>
    <x v="19"/>
    <s v="Education"/>
    <n v="3.8"/>
    <s v="late payment"/>
  </r>
  <r>
    <n v="21"/>
    <x v="2"/>
    <s v="David"/>
    <x v="4"/>
    <x v="0"/>
    <s v="Jan"/>
    <n v="23"/>
    <n v="350"/>
    <s v="0%"/>
    <x v="20"/>
    <s v="Corporate"/>
    <n v="3.6"/>
    <s v="steady buyer"/>
  </r>
  <r>
    <n v="22"/>
    <x v="0"/>
    <s v="Ian"/>
    <x v="1"/>
    <x v="0"/>
    <s v="Feb"/>
    <n v="21"/>
    <n v="350"/>
    <s v="5%"/>
    <x v="21"/>
    <s v="Education"/>
    <n v="4.4000000000000004"/>
    <s v="fast delivery"/>
  </r>
  <r>
    <n v="23"/>
    <x v="0"/>
    <s v="Bob"/>
    <x v="2"/>
    <x v="1"/>
    <s v="Jan"/>
    <n v="20"/>
    <n v="350"/>
    <s v="5%"/>
    <x v="22"/>
    <s v="Education"/>
    <n v="4.5"/>
    <s v="loyal client"/>
  </r>
  <r>
    <n v="24"/>
    <x v="2"/>
    <s v="Bob"/>
    <x v="3"/>
    <x v="2"/>
    <s v="Jan"/>
    <n v="18"/>
    <n v="800"/>
    <s v="5%"/>
    <x v="23"/>
    <s v="Retail"/>
    <n v="4.5999999999999996"/>
    <s v="steady buyer"/>
  </r>
  <r>
    <n v="25"/>
    <x v="0"/>
    <s v="Grace"/>
    <x v="1"/>
    <x v="0"/>
    <s v="Feb"/>
    <n v="12"/>
    <n v="350"/>
    <s v="0%"/>
    <x v="24"/>
    <s v="Retail"/>
    <n v="4.2"/>
    <s v="new order"/>
  </r>
  <r>
    <n v="26"/>
    <x v="2"/>
    <s v="Bob"/>
    <x v="4"/>
    <x v="0"/>
    <s v="Feb"/>
    <n v="7"/>
    <n v="850"/>
    <s v="10%"/>
    <x v="25"/>
    <s v="Corporate"/>
    <n v="3.6"/>
    <s v="loyal client"/>
  </r>
  <r>
    <n v="27"/>
    <x v="0"/>
    <s v="Grace"/>
    <x v="5"/>
    <x v="1"/>
    <s v="Jan"/>
    <n v="20"/>
    <n v="350"/>
    <s v="5%"/>
    <x v="22"/>
    <s v="Retail"/>
    <n v="4.7"/>
    <s v="regular order"/>
  </r>
  <r>
    <n v="28"/>
    <x v="3"/>
    <s v="Carol"/>
    <x v="5"/>
    <x v="1"/>
    <s v="Feb"/>
    <n v="14"/>
    <n v="800"/>
    <s v="10%"/>
    <x v="26"/>
    <s v="Retail"/>
    <n v="4.7"/>
    <s v="high demand"/>
  </r>
  <r>
    <n v="29"/>
    <x v="2"/>
    <s v="Jane"/>
    <x v="1"/>
    <x v="0"/>
    <s v="Apr"/>
    <n v="23"/>
    <n v="120"/>
    <s v="10%"/>
    <x v="27"/>
    <s v="Education"/>
    <n v="3.9"/>
    <s v="late payment"/>
  </r>
  <r>
    <n v="30"/>
    <x v="2"/>
    <s v="David"/>
    <x v="4"/>
    <x v="0"/>
    <s v="Apr"/>
    <n v="6"/>
    <n v="200"/>
    <s v="0%"/>
    <x v="28"/>
    <s v="Corporate"/>
    <n v="3.6"/>
    <s v="fast delivery"/>
  </r>
  <r>
    <n v="31"/>
    <x v="1"/>
    <s v="Emma"/>
    <x v="4"/>
    <x v="0"/>
    <s v="Feb"/>
    <n v="23"/>
    <n v="120"/>
    <s v="10%"/>
    <x v="27"/>
    <s v="Education"/>
    <n v="3.6"/>
    <s v="steady buyer"/>
  </r>
  <r>
    <n v="32"/>
    <x v="1"/>
    <s v="Helen"/>
    <x v="4"/>
    <x v="0"/>
    <s v="Mar"/>
    <n v="13"/>
    <n v="800"/>
    <s v="0%"/>
    <x v="18"/>
    <s v="Corporate"/>
    <n v="4.4000000000000004"/>
    <s v="good sale"/>
  </r>
  <r>
    <n v="33"/>
    <x v="1"/>
    <s v="Carol"/>
    <x v="5"/>
    <x v="1"/>
    <s v="Mar"/>
    <n v="24"/>
    <n v="200"/>
    <s v="0%"/>
    <x v="29"/>
    <s v="Corporate"/>
    <n v="4.2"/>
    <s v="high demand"/>
  </r>
  <r>
    <n v="34"/>
    <x v="1"/>
    <s v="Jane"/>
    <x v="3"/>
    <x v="2"/>
    <s v="Jun"/>
    <n v="14"/>
    <n v="300"/>
    <s v="5%"/>
    <x v="30"/>
    <s v="Education"/>
    <n v="4.5999999999999996"/>
    <s v="good sale"/>
  </r>
  <r>
    <n v="35"/>
    <x v="0"/>
    <s v="Emma"/>
    <x v="0"/>
    <x v="0"/>
    <s v="Jan"/>
    <n v="22"/>
    <n v="370"/>
    <s v="10%"/>
    <x v="31"/>
    <s v="Corporate"/>
    <n v="3.6"/>
    <s v="late payment"/>
  </r>
  <r>
    <n v="36"/>
    <x v="1"/>
    <s v="David"/>
    <x v="4"/>
    <x v="0"/>
    <s v="Jun"/>
    <n v="13"/>
    <n v="370"/>
    <s v="10%"/>
    <x v="32"/>
    <s v="Education"/>
    <n v="3.8"/>
    <s v="regular order"/>
  </r>
  <r>
    <n v="37"/>
    <x v="3"/>
    <s v="Emma"/>
    <x v="2"/>
    <x v="1"/>
    <s v="Jan"/>
    <n v="20"/>
    <n v="370"/>
    <s v="0%"/>
    <x v="33"/>
    <s v="Corporate"/>
    <n v="3.6"/>
    <s v="steady buyer"/>
  </r>
  <r>
    <n v="38"/>
    <x v="3"/>
    <s v="Ian"/>
    <x v="4"/>
    <x v="0"/>
    <s v="Jan"/>
    <n v="25"/>
    <n v="370"/>
    <s v="0%"/>
    <x v="34"/>
    <s v="Corporate"/>
    <n v="4.5"/>
    <s v="fast mover"/>
  </r>
  <r>
    <n v="39"/>
    <x v="0"/>
    <s v="Grace"/>
    <x v="0"/>
    <x v="0"/>
    <s v="Feb"/>
    <n v="9"/>
    <n v="120"/>
    <s v="5%"/>
    <x v="35"/>
    <s v="Corporate"/>
    <n v="4.3"/>
    <s v="regular order"/>
  </r>
  <r>
    <n v="40"/>
    <x v="0"/>
    <s v="Bob"/>
    <x v="3"/>
    <x v="2"/>
    <s v="Mar"/>
    <n v="30"/>
    <n v="120"/>
    <s v="5%"/>
    <x v="12"/>
    <s v="Education"/>
    <n v="3.8"/>
    <s v="loyal client"/>
  </r>
  <r>
    <n v="41"/>
    <x v="0"/>
    <s v="Grace"/>
    <x v="2"/>
    <x v="1"/>
    <s v="Jan"/>
    <n v="28"/>
    <n v="300"/>
    <s v="0%"/>
    <x v="36"/>
    <s v="Corporate"/>
    <n v="4.5999999999999996"/>
    <s v="steady buyer"/>
  </r>
  <r>
    <n v="42"/>
    <x v="2"/>
    <s v="Grace"/>
    <x v="5"/>
    <x v="1"/>
    <s v="Jan"/>
    <n v="30"/>
    <n v="350"/>
    <s v="5%"/>
    <x v="37"/>
    <s v="Retail"/>
    <n v="3.7"/>
    <s v="high demand"/>
  </r>
  <r>
    <n v="43"/>
    <x v="0"/>
    <s v="David"/>
    <x v="4"/>
    <x v="0"/>
    <s v="Jan"/>
    <n v="19"/>
    <n v="600"/>
    <s v="5%"/>
    <x v="38"/>
    <s v="Education"/>
    <n v="4.5999999999999996"/>
    <s v="high demand"/>
  </r>
  <r>
    <n v="44"/>
    <x v="1"/>
    <s v="Frank"/>
    <x v="5"/>
    <x v="1"/>
    <s v="Jun"/>
    <n v="15"/>
    <n v="370"/>
    <s v="0%"/>
    <x v="39"/>
    <s v="Education"/>
    <n v="4.8"/>
    <s v="loyal client"/>
  </r>
  <r>
    <n v="45"/>
    <x v="1"/>
    <s v="Carol"/>
    <x v="0"/>
    <x v="0"/>
    <s v="May"/>
    <n v="22"/>
    <n v="600"/>
    <s v="0%"/>
    <x v="40"/>
    <s v="Retail"/>
    <n v="3.6"/>
    <s v="good sale"/>
  </r>
  <r>
    <n v="46"/>
    <x v="1"/>
    <s v="Grace"/>
    <x v="1"/>
    <x v="0"/>
    <s v="May"/>
    <n v="24"/>
    <n v="800"/>
    <s v="5%"/>
    <x v="41"/>
    <s v="Education"/>
    <n v="4.4000000000000004"/>
    <s v="fast mover"/>
  </r>
  <r>
    <n v="47"/>
    <x v="3"/>
    <s v="Alice"/>
    <x v="5"/>
    <x v="1"/>
    <s v="May"/>
    <n v="23"/>
    <n v="350"/>
    <s v="5%"/>
    <x v="42"/>
    <s v="Education"/>
    <n v="3.6"/>
    <s v="high demand"/>
  </r>
  <r>
    <n v="48"/>
    <x v="1"/>
    <s v="Bob"/>
    <x v="3"/>
    <x v="2"/>
    <s v="Jun"/>
    <n v="18"/>
    <n v="200"/>
    <s v="10%"/>
    <x v="11"/>
    <s v="Retail"/>
    <n v="4.7"/>
    <s v="late payment"/>
  </r>
  <r>
    <n v="49"/>
    <x v="1"/>
    <s v="Ian"/>
    <x v="3"/>
    <x v="2"/>
    <s v="Feb"/>
    <n v="26"/>
    <n v="800"/>
    <s v="5%"/>
    <x v="43"/>
    <s v="Corporate"/>
    <n v="4"/>
    <s v="loyal client"/>
  </r>
  <r>
    <n v="50"/>
    <x v="3"/>
    <s v="Ian"/>
    <x v="0"/>
    <x v="0"/>
    <s v="Jan"/>
    <n v="17"/>
    <n v="300"/>
    <s v="10%"/>
    <x v="44"/>
    <s v="Retail"/>
    <n v="4.2"/>
    <s v="regular or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C926A-7802-4E88-AB27-C92CA394F930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C18" firstHeaderRow="0" firstDataRow="1" firstDataCol="1"/>
  <pivotFields count="14">
    <pivotField showAll="0" defaultSubtotal="0"/>
    <pivotField axis="axisRow"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7">
        <item x="2"/>
        <item x="5"/>
        <item x="1"/>
        <item x="0"/>
        <item x="3"/>
        <item x="4"/>
        <item f="1" x="6"/>
      </items>
    </pivotField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dataField="1" numFmtId="165" showAll="0" defaultSubtotal="0">
      <items count="45">
        <item x="0"/>
        <item x="35"/>
        <item x="28"/>
        <item x="14"/>
        <item x="9"/>
        <item x="6"/>
        <item x="7"/>
        <item x="16"/>
        <item x="27"/>
        <item x="11"/>
        <item x="12"/>
        <item x="3"/>
        <item x="30"/>
        <item x="24"/>
        <item x="32"/>
        <item x="44"/>
        <item x="29"/>
        <item x="15"/>
        <item x="13"/>
        <item x="25"/>
        <item x="10"/>
        <item x="39"/>
        <item x="4"/>
        <item x="17"/>
        <item x="22"/>
        <item x="21"/>
        <item x="31"/>
        <item x="33"/>
        <item x="42"/>
        <item x="20"/>
        <item x="36"/>
        <item x="8"/>
        <item x="1"/>
        <item x="34"/>
        <item x="37"/>
        <item x="26"/>
        <item x="18"/>
        <item x="38"/>
        <item x="5"/>
        <item x="40"/>
        <item x="23"/>
        <item x="19"/>
        <item x="41"/>
        <item x="2"/>
        <item x="43"/>
      </items>
    </pivotField>
    <pivotField showAll="0" defaultSubtotal="0"/>
    <pivotField showAll="0" defaultSubtotal="0"/>
    <pivotField showAll="0" defaultSubtotal="0"/>
    <pivotField dataField="1" subtotalTop="0" dragToRow="0" dragToCol="0" dragToPage="0" showAll="0" defaultSubtotal="0"/>
  </pivotFields>
  <rowFields count="2">
    <field x="4"/>
    <field x="1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1" baseItem="0" numFmtId="164"/>
    <dataField name="Sum of Revenue per Unit" fld="13" baseField="1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771F2-0C92-4643-A13B-8CA4D3CAE3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/>
    <pivotField showAll="0"/>
    <pivotField axis="axisRow" showAll="0">
      <items count="8">
        <item x="2"/>
        <item x="5"/>
        <item x="1"/>
        <item x="0"/>
        <item x="3"/>
        <item x="4"/>
        <item f="1"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9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"/>
  <sheetViews>
    <sheetView showGridLines="0" tabSelected="1" zoomScale="55" zoomScaleNormal="55" workbookViewId="0">
      <selection activeCell="AB2" sqref="AB2"/>
    </sheetView>
  </sheetViews>
  <sheetFormatPr defaultRowHeight="14.5" x14ac:dyDescent="0.35"/>
  <cols>
    <col min="1" max="1" width="2.81640625" style="2" bestFit="1" customWidth="1"/>
    <col min="2" max="2" width="6.453125" style="2" bestFit="1" customWidth="1"/>
    <col min="3" max="3" width="10.81640625" style="2" bestFit="1" customWidth="1"/>
    <col min="4" max="4" width="7.6328125" style="2" bestFit="1" customWidth="1"/>
    <col min="5" max="5" width="9.7265625" style="2" bestFit="1" customWidth="1"/>
    <col min="6" max="6" width="6.54296875" style="2" bestFit="1" customWidth="1"/>
    <col min="7" max="7" width="9.7265625" style="2" bestFit="1" customWidth="1"/>
    <col min="8" max="8" width="9.453125" style="2" bestFit="1" customWidth="1"/>
    <col min="9" max="9" width="8.1796875" style="2" bestFit="1" customWidth="1"/>
    <col min="10" max="10" width="8.90625" style="2" bestFit="1" customWidth="1"/>
    <col min="11" max="11" width="17.453125" style="2" bestFit="1" customWidth="1"/>
    <col min="12" max="12" width="6.08984375" style="2" bestFit="1" customWidth="1"/>
    <col min="13" max="13" width="12.08984375" style="2" bestFit="1" customWidth="1"/>
    <col min="14" max="14" width="8.7265625" style="2"/>
    <col min="15" max="15" width="14.453125" style="2" bestFit="1" customWidth="1"/>
    <col min="16" max="16" width="7" style="2" bestFit="1" customWidth="1"/>
    <col min="17" max="17" width="6.36328125" style="2" bestFit="1" customWidth="1"/>
    <col min="18" max="18" width="8.90625" style="2" bestFit="1" customWidth="1"/>
    <col min="19" max="20" width="6.36328125" style="2" bestFit="1" customWidth="1"/>
    <col min="21" max="21" width="7.6328125" style="2" bestFit="1" customWidth="1"/>
    <col min="22" max="22" width="7.36328125" style="2" bestFit="1" customWidth="1"/>
    <col min="23" max="23" width="16.1796875" style="2" bestFit="1" customWidth="1"/>
    <col min="24" max="24" width="8.90625" style="2" bestFit="1" customWidth="1"/>
    <col min="25" max="25" width="8.26953125" style="2" bestFit="1" customWidth="1"/>
    <col min="26" max="28" width="7.36328125" style="2" bestFit="1" customWidth="1"/>
    <col min="29" max="29" width="7.90625" style="2" bestFit="1" customWidth="1"/>
    <col min="30" max="30" width="29.7265625" style="2" bestFit="1" customWidth="1"/>
    <col min="31" max="31" width="7.36328125" style="2" bestFit="1" customWidth="1"/>
    <col min="32" max="32" width="5.6328125" style="2" bestFit="1" customWidth="1"/>
    <col min="33" max="33" width="6.08984375" style="2" bestFit="1" customWidth="1"/>
    <col min="34" max="34" width="7.6328125" style="2" bestFit="1" customWidth="1"/>
    <col min="35" max="35" width="9.7265625" style="2" bestFit="1" customWidth="1"/>
    <col min="36" max="36" width="4.453125" style="2" bestFit="1" customWidth="1"/>
    <col min="37" max="37" width="2.81640625" style="2" bestFit="1" customWidth="1"/>
    <col min="38" max="38" width="3.81640625" style="2" bestFit="1" customWidth="1"/>
    <col min="39" max="39" width="4.26953125" style="2" bestFit="1" customWidth="1"/>
    <col min="40" max="40" width="8.90625" style="2" bestFit="1" customWidth="1"/>
    <col min="41" max="41" width="9.26953125" style="2" bestFit="1" customWidth="1"/>
    <col min="42" max="42" width="3.81640625" style="2" bestFit="1" customWidth="1"/>
    <col min="43" max="43" width="11.81640625" style="2" bestFit="1" customWidth="1"/>
    <col min="44" max="16384" width="8.7265625" style="2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7" t="s">
        <v>58</v>
      </c>
      <c r="P1" s="7" t="s">
        <v>59</v>
      </c>
      <c r="Q1" s="7" t="s">
        <v>60</v>
      </c>
      <c r="R1" s="7" t="s">
        <v>61</v>
      </c>
      <c r="S1" s="7" t="s">
        <v>62</v>
      </c>
      <c r="T1" s="7" t="s">
        <v>63</v>
      </c>
      <c r="U1" s="7" t="s">
        <v>64</v>
      </c>
      <c r="V1" s="7" t="s">
        <v>65</v>
      </c>
      <c r="W1" s="7" t="s">
        <v>66</v>
      </c>
      <c r="X1" s="7" t="s">
        <v>67</v>
      </c>
      <c r="Y1" s="7" t="s">
        <v>68</v>
      </c>
      <c r="Z1" s="7" t="s">
        <v>69</v>
      </c>
      <c r="AA1" s="7" t="s">
        <v>70</v>
      </c>
      <c r="AB1" s="7" t="s">
        <v>71</v>
      </c>
      <c r="AC1" s="7" t="s">
        <v>72</v>
      </c>
      <c r="AD1" s="7" t="s">
        <v>73</v>
      </c>
      <c r="AE1" s="7" t="s">
        <v>74</v>
      </c>
    </row>
    <row r="2" spans="1:43" x14ac:dyDescent="0.35">
      <c r="A2" s="8">
        <v>1</v>
      </c>
      <c r="B2" s="8" t="s">
        <v>13</v>
      </c>
      <c r="C2" s="8" t="s">
        <v>17</v>
      </c>
      <c r="D2" s="8" t="s">
        <v>27</v>
      </c>
      <c r="E2" s="8" t="s">
        <v>33</v>
      </c>
      <c r="F2" s="8" t="s">
        <v>36</v>
      </c>
      <c r="G2" s="8">
        <v>8</v>
      </c>
      <c r="H2" s="8">
        <v>120</v>
      </c>
      <c r="I2" s="9">
        <v>0.15</v>
      </c>
      <c r="J2" s="12">
        <f>G2*H2*(1-I2)</f>
        <v>816</v>
      </c>
      <c r="K2" s="8" t="s">
        <v>45</v>
      </c>
      <c r="L2" s="8">
        <v>3.9</v>
      </c>
      <c r="M2" s="8" t="s">
        <v>48</v>
      </c>
      <c r="O2" s="8" t="str">
        <f>_xlfn.IFNA(VLOOKUP("Mfonitor",D2:H51,5,FALSE),"No such Product")</f>
        <v>No such Product</v>
      </c>
      <c r="P2" s="8" t="str">
        <f>IF(VLOOKUP(J2,J2:J51,1,FALSE)&gt;10000,"High","Normal")</f>
        <v>Normal</v>
      </c>
      <c r="Q2" s="9" cm="1">
        <f t="array" ref="Q2">INDEX(Discount, MATCH(1, (Salesperson=C2)*(Product=D2), 0))</f>
        <v>0.15</v>
      </c>
      <c r="R2" s="12">
        <f>SUMIFS(Revenue,Customer_Segment,"Corporate",Region,"North")</f>
        <v>27565</v>
      </c>
      <c r="S2" s="8">
        <f>AVERAGEIFS(Rating,Month,"May",Category,"Furniture")</f>
        <v>3.6</v>
      </c>
      <c r="T2" s="8" t="str">
        <f>_xlfn.XLOOKUP("David",Salesperson,Region)</f>
        <v>South</v>
      </c>
      <c r="U2" s="11" t="str" cm="1">
        <f t="array" ref="U2:U7">_xlfn.UNIQUE(_xlfn._xlws.SORT(Product))</f>
        <v>Chair</v>
      </c>
      <c r="V2" s="11" t="str" cm="1">
        <f t="array" ref="V2:V51">_xlfn.SORTBY(Salesperson,Revenue,-1)</f>
        <v>Ian</v>
      </c>
      <c r="W2" s="8" t="str">
        <f t="shared" ref="W2:W33" si="0">IF(AND(I2&gt;=5%,L2&gt;4.5),"Premium Discount","Regular Discount")</f>
        <v>Regular Discount</v>
      </c>
      <c r="X2" s="12">
        <f>IFERROR(SUMIFS(Revenue, Salesperson, "Carol"), "Not Found")</f>
        <v>39466</v>
      </c>
      <c r="Y2" s="8">
        <f>CHOOSE(MATCH(F2, {"Jan";"Feb";"Mar";"Apr";"May";"Jun"}, 0), 1,2,3,4,5,6)</f>
        <v>6</v>
      </c>
      <c r="Z2" s="8" t="str" cm="1">
        <f t="array" ref="Z2">_xlfn.SWITCH(E2,"Electronics","Tech","Furniture","Office","Other")</f>
        <v>Tech</v>
      </c>
      <c r="AA2" s="8">
        <f>_xlfn.RANK.EQ(J2,$J$2:$J$8,1)</f>
        <v>1</v>
      </c>
      <c r="AB2" s="8">
        <f>COUNTIFS(Customer_Segment,"Corporate")</f>
        <v>15</v>
      </c>
      <c r="AC2" s="12">
        <f>AVERAGEIF(Region,"East",Revenue)</f>
        <v>7082.7777777777774</v>
      </c>
      <c r="AD2" s="10" t="str">
        <f>_xlfn.IFNA(INDEX(Customer_Segment,MATCH("Monidtor",Product,0)),"Customer segment is not avaliable")</f>
        <v>Customer segment is not avaliable</v>
      </c>
      <c r="AE2" s="8" cm="1">
        <f t="array" ref="AE2:AQ12">_xlfn._xlws.SORT(
    _xlfn._xlws.FILTER(A2:M51, IF(Revenue&gt;10000, TRUE, FALSE)),
    COLUMN(Revenue),
    -1
)</f>
        <v>49</v>
      </c>
      <c r="AF2" s="8" t="str">
        <v>East</v>
      </c>
      <c r="AG2" s="8" t="str">
        <v>Ian</v>
      </c>
      <c r="AH2" s="8" t="str">
        <v>Printer</v>
      </c>
      <c r="AI2" s="8" t="str">
        <v>Office</v>
      </c>
      <c r="AJ2" s="8" t="str">
        <v>Feb</v>
      </c>
      <c r="AK2" s="8">
        <v>26</v>
      </c>
      <c r="AL2" s="8">
        <v>800</v>
      </c>
      <c r="AM2" s="8" t="str">
        <v>5%</v>
      </c>
      <c r="AN2" s="12">
        <v>19760</v>
      </c>
      <c r="AO2" s="8" t="str">
        <v>Corporate</v>
      </c>
      <c r="AP2" s="8">
        <v>4</v>
      </c>
      <c r="AQ2" s="8" t="str">
        <v>loyal client</v>
      </c>
    </row>
    <row r="3" spans="1:43" x14ac:dyDescent="0.35">
      <c r="A3" s="13">
        <v>2</v>
      </c>
      <c r="B3" s="13" t="s">
        <v>13</v>
      </c>
      <c r="C3" s="13" t="s">
        <v>18</v>
      </c>
      <c r="D3" s="13" t="s">
        <v>28</v>
      </c>
      <c r="E3" s="13" t="s">
        <v>33</v>
      </c>
      <c r="F3" s="13" t="s">
        <v>37</v>
      </c>
      <c r="G3" s="13">
        <v>23</v>
      </c>
      <c r="H3" s="13">
        <v>800</v>
      </c>
      <c r="I3" s="14" t="s">
        <v>43</v>
      </c>
      <c r="J3" s="15">
        <v>8800</v>
      </c>
      <c r="K3" s="13" t="s">
        <v>46</v>
      </c>
      <c r="L3" s="13">
        <v>3.5</v>
      </c>
      <c r="M3" s="13" t="s">
        <v>49</v>
      </c>
      <c r="P3" s="8" t="str">
        <f t="shared" ref="P3:P51" si="1">IF(VLOOKUP(J3,J3:J52,1,FALSE)&gt;10000,"High","Normal")</f>
        <v>Normal</v>
      </c>
      <c r="U3" s="8" t="str">
        <v>Desk</v>
      </c>
      <c r="V3" s="8" t="str">
        <v>Alice</v>
      </c>
      <c r="W3" s="8" t="str">
        <f t="shared" si="0"/>
        <v>Regular Discount</v>
      </c>
      <c r="Y3" s="8">
        <f>CHOOSE(MATCH(F3, {"Jan";"Feb";"Mar";"Apr";"May";"Jun"}, 0), 1,2,3,4,5,6)</f>
        <v>5</v>
      </c>
      <c r="Z3" s="8" t="str" cm="1">
        <f t="array" ref="Z3">_xlfn.SWITCH(E3,"Electronics","Tech","Furniture","Office","Other")</f>
        <v>Tech</v>
      </c>
      <c r="AA3" s="8">
        <f t="shared" ref="AA3:AA8" si="2">_xlfn.RANK.EQ(J3,$J$2:$J$8,1)</f>
        <v>5</v>
      </c>
      <c r="AE3" s="8">
        <v>3</v>
      </c>
      <c r="AF3" s="8" t="str">
        <v>East</v>
      </c>
      <c r="AG3" s="8" t="str">
        <v>Alice</v>
      </c>
      <c r="AH3" s="8" t="str">
        <v>Chair</v>
      </c>
      <c r="AI3" s="8" t="str">
        <v>Furniture</v>
      </c>
      <c r="AJ3" s="8" t="str">
        <v>Feb</v>
      </c>
      <c r="AK3" s="8">
        <v>11</v>
      </c>
      <c r="AL3" s="8">
        <v>800</v>
      </c>
      <c r="AM3" s="8" t="str">
        <v>0%</v>
      </c>
      <c r="AN3" s="12">
        <v>18400</v>
      </c>
      <c r="AO3" s="8" t="str">
        <v>Education</v>
      </c>
      <c r="AP3" s="8">
        <v>4.0999999999999996</v>
      </c>
      <c r="AQ3" s="8" t="str">
        <v>loyal client</v>
      </c>
    </row>
    <row r="4" spans="1:43" x14ac:dyDescent="0.35">
      <c r="A4" s="13">
        <v>3</v>
      </c>
      <c r="B4" s="13" t="s">
        <v>14</v>
      </c>
      <c r="C4" s="13" t="s">
        <v>19</v>
      </c>
      <c r="D4" s="13" t="s">
        <v>29</v>
      </c>
      <c r="E4" s="13" t="s">
        <v>34</v>
      </c>
      <c r="F4" s="13" t="s">
        <v>38</v>
      </c>
      <c r="G4" s="13">
        <v>11</v>
      </c>
      <c r="H4" s="13">
        <v>800</v>
      </c>
      <c r="I4" s="14" t="s">
        <v>43</v>
      </c>
      <c r="J4" s="15">
        <f>G3*H3*(1-I3)</f>
        <v>18400</v>
      </c>
      <c r="K4" s="13" t="s">
        <v>46</v>
      </c>
      <c r="L4" s="13">
        <v>4.0999999999999996</v>
      </c>
      <c r="M4" s="13" t="s">
        <v>50</v>
      </c>
      <c r="P4" s="8" t="str">
        <f t="shared" si="1"/>
        <v>High</v>
      </c>
      <c r="U4" s="8" t="str">
        <v>Laptop</v>
      </c>
      <c r="V4" s="8" t="str">
        <v>Grace</v>
      </c>
      <c r="W4" s="8" t="str">
        <f t="shared" si="0"/>
        <v>Regular Discount</v>
      </c>
      <c r="Y4" s="8">
        <f>CHOOSE(MATCH(F4, {"Jan";"Feb";"Mar";"Apr";"May";"Jun"}, 0), 1,2,3,4,5,6)</f>
        <v>2</v>
      </c>
      <c r="Z4" s="8" t="str" cm="1">
        <f t="array" ref="Z4">_xlfn.SWITCH(E4,"Electronics","Tech","Furniture","Office","Other")</f>
        <v>Office</v>
      </c>
      <c r="AA4" s="8">
        <f t="shared" si="2"/>
        <v>7</v>
      </c>
      <c r="AE4" s="8">
        <v>46</v>
      </c>
      <c r="AF4" s="8" t="str">
        <v>East</v>
      </c>
      <c r="AG4" s="8" t="str">
        <v>Grace</v>
      </c>
      <c r="AH4" s="8" t="str">
        <v>Laptop</v>
      </c>
      <c r="AI4" s="8" t="str">
        <v>Electronics</v>
      </c>
      <c r="AJ4" s="8" t="str">
        <v>May</v>
      </c>
      <c r="AK4" s="8">
        <v>24</v>
      </c>
      <c r="AL4" s="8">
        <v>800</v>
      </c>
      <c r="AM4" s="8" t="str">
        <v>5%</v>
      </c>
      <c r="AN4" s="12">
        <v>18240</v>
      </c>
      <c r="AO4" s="8" t="str">
        <v>Education</v>
      </c>
      <c r="AP4" s="8">
        <v>4.4000000000000004</v>
      </c>
      <c r="AQ4" s="8" t="str">
        <v>fast mover</v>
      </c>
    </row>
    <row r="5" spans="1:43" x14ac:dyDescent="0.35">
      <c r="A5" s="8">
        <v>4</v>
      </c>
      <c r="B5" s="8" t="s">
        <v>14</v>
      </c>
      <c r="C5" s="8" t="s">
        <v>20</v>
      </c>
      <c r="D5" s="8" t="s">
        <v>30</v>
      </c>
      <c r="E5" s="8" t="s">
        <v>35</v>
      </c>
      <c r="F5" s="8" t="s">
        <v>39</v>
      </c>
      <c r="G5" s="8">
        <v>13</v>
      </c>
      <c r="H5" s="8">
        <v>300</v>
      </c>
      <c r="I5" s="9">
        <v>0.05</v>
      </c>
      <c r="J5" s="12">
        <f t="shared" ref="J5:J51" si="3">G5*H5*(1-I5)</f>
        <v>3705</v>
      </c>
      <c r="K5" s="8" t="s">
        <v>47</v>
      </c>
      <c r="L5" s="8">
        <v>4.7</v>
      </c>
      <c r="M5" s="8" t="s">
        <v>51</v>
      </c>
      <c r="P5" s="8" t="str">
        <f t="shared" si="1"/>
        <v>Normal</v>
      </c>
      <c r="U5" s="8" t="str">
        <v>Monitor</v>
      </c>
      <c r="V5" s="8" t="str">
        <v>Frank</v>
      </c>
      <c r="W5" s="8" t="str">
        <f t="shared" si="0"/>
        <v>Premium Discount</v>
      </c>
      <c r="Y5" s="8">
        <f>CHOOSE(MATCH(F5, {"Jan";"Feb";"Mar";"Apr";"May";"Jun"}, 0), 1,2,3,4,5,6)</f>
        <v>1</v>
      </c>
      <c r="Z5" s="8" t="str" cm="1">
        <f t="array" ref="Z5">_xlfn.SWITCH(E5,"Electronics","Tech","Furniture","Office","Other")</f>
        <v>Other</v>
      </c>
      <c r="AA5" s="8">
        <f t="shared" si="2"/>
        <v>3</v>
      </c>
      <c r="AE5" s="8">
        <v>20</v>
      </c>
      <c r="AF5" s="8" t="str">
        <v>North</v>
      </c>
      <c r="AG5" s="8" t="str">
        <v>Frank</v>
      </c>
      <c r="AH5" s="8" t="str">
        <v>Desk</v>
      </c>
      <c r="AI5" s="8" t="str">
        <v>Furniture</v>
      </c>
      <c r="AJ5" s="8" t="str">
        <v>Jan</v>
      </c>
      <c r="AK5" s="8">
        <v>21</v>
      </c>
      <c r="AL5" s="8">
        <v>850</v>
      </c>
      <c r="AM5" s="8" t="str">
        <v>0%</v>
      </c>
      <c r="AN5" s="12">
        <v>17850</v>
      </c>
      <c r="AO5" s="8" t="str">
        <v>Education</v>
      </c>
      <c r="AP5" s="8">
        <v>3.8</v>
      </c>
      <c r="AQ5" s="8" t="str">
        <v>late payment</v>
      </c>
    </row>
    <row r="6" spans="1:43" x14ac:dyDescent="0.35">
      <c r="A6" s="8">
        <v>5</v>
      </c>
      <c r="B6" s="8" t="s">
        <v>15</v>
      </c>
      <c r="C6" s="8" t="s">
        <v>21</v>
      </c>
      <c r="D6" s="8" t="s">
        <v>30</v>
      </c>
      <c r="E6" s="8" t="s">
        <v>35</v>
      </c>
      <c r="F6" s="8" t="s">
        <v>39</v>
      </c>
      <c r="G6" s="8">
        <v>16</v>
      </c>
      <c r="H6" s="8">
        <v>370</v>
      </c>
      <c r="I6" s="9" t="s">
        <v>43</v>
      </c>
      <c r="J6" s="12">
        <f t="shared" si="3"/>
        <v>5920</v>
      </c>
      <c r="K6" s="8" t="s">
        <v>46</v>
      </c>
      <c r="L6" s="8">
        <v>4.4000000000000004</v>
      </c>
      <c r="M6" s="8" t="s">
        <v>52</v>
      </c>
      <c r="P6" s="8" t="str">
        <f t="shared" si="1"/>
        <v>Normal</v>
      </c>
      <c r="U6" s="8" t="str">
        <v>Printer</v>
      </c>
      <c r="V6" s="8" t="str">
        <v>Bob</v>
      </c>
      <c r="W6" s="8" t="str">
        <f t="shared" si="0"/>
        <v>Regular Discount</v>
      </c>
      <c r="Y6" s="8">
        <f>CHOOSE(MATCH(F6, {"Jan";"Feb";"Mar";"Apr";"May";"Jun"}, 0), 1,2,3,4,5,6)</f>
        <v>1</v>
      </c>
      <c r="Z6" s="8" t="str" cm="1">
        <f t="array" ref="Z6">_xlfn.SWITCH(E6,"Electronics","Tech","Furniture","Office","Other")</f>
        <v>Other</v>
      </c>
      <c r="AA6" s="8">
        <f t="shared" si="2"/>
        <v>4</v>
      </c>
      <c r="AE6" s="8">
        <v>24</v>
      </c>
      <c r="AF6" s="8" t="str">
        <v>North</v>
      </c>
      <c r="AG6" s="8" t="str">
        <v>Bob</v>
      </c>
      <c r="AH6" s="8" t="str">
        <v>Printer</v>
      </c>
      <c r="AI6" s="8" t="str">
        <v>Office</v>
      </c>
      <c r="AJ6" s="8" t="str">
        <v>Jan</v>
      </c>
      <c r="AK6" s="8">
        <v>18</v>
      </c>
      <c r="AL6" s="8">
        <v>800</v>
      </c>
      <c r="AM6" s="8" t="str">
        <v>5%</v>
      </c>
      <c r="AN6" s="12">
        <v>13680</v>
      </c>
      <c r="AO6" s="8" t="str">
        <v>Retail</v>
      </c>
      <c r="AP6" s="8">
        <v>4.5999999999999996</v>
      </c>
      <c r="AQ6" s="8" t="str">
        <v>steady buyer</v>
      </c>
    </row>
    <row r="7" spans="1:43" x14ac:dyDescent="0.35">
      <c r="A7" s="13">
        <v>6</v>
      </c>
      <c r="B7" s="13" t="s">
        <v>15</v>
      </c>
      <c r="C7" s="13" t="s">
        <v>19</v>
      </c>
      <c r="D7" s="13" t="s">
        <v>27</v>
      </c>
      <c r="E7" s="13" t="s">
        <v>33</v>
      </c>
      <c r="F7" s="13" t="s">
        <v>36</v>
      </c>
      <c r="G7" s="13">
        <v>24</v>
      </c>
      <c r="H7" s="13">
        <v>600</v>
      </c>
      <c r="I7" s="14" t="s">
        <v>42</v>
      </c>
      <c r="J7" s="15">
        <f t="shared" si="3"/>
        <v>12960</v>
      </c>
      <c r="K7" s="13" t="s">
        <v>45</v>
      </c>
      <c r="L7" s="13">
        <v>3.7</v>
      </c>
      <c r="M7" s="13" t="s">
        <v>52</v>
      </c>
      <c r="P7" s="8" t="str">
        <f t="shared" si="1"/>
        <v>High</v>
      </c>
      <c r="U7" s="8" t="str">
        <v>Tablet</v>
      </c>
      <c r="V7" s="8" t="str">
        <v>Carol</v>
      </c>
      <c r="W7" s="8" t="str">
        <f t="shared" si="0"/>
        <v>Regular Discount</v>
      </c>
      <c r="Y7" s="8">
        <f>CHOOSE(MATCH(F7, {"Jan";"Feb";"Mar";"Apr";"May";"Jun"}, 0), 1,2,3,4,5,6)</f>
        <v>6</v>
      </c>
      <c r="Z7" s="8" t="str" cm="1">
        <f t="array" ref="Z7">_xlfn.SWITCH(E7,"Electronics","Tech","Furniture","Office","Other")</f>
        <v>Tech</v>
      </c>
      <c r="AA7" s="8">
        <f t="shared" si="2"/>
        <v>6</v>
      </c>
      <c r="AE7" s="8">
        <v>45</v>
      </c>
      <c r="AF7" s="8" t="str">
        <v>East</v>
      </c>
      <c r="AG7" s="8" t="str">
        <v>Carol</v>
      </c>
      <c r="AH7" s="8" t="str">
        <v>Monitor</v>
      </c>
      <c r="AI7" s="8" t="str">
        <v>Electronics</v>
      </c>
      <c r="AJ7" s="8" t="str">
        <v>May</v>
      </c>
      <c r="AK7" s="8">
        <v>22</v>
      </c>
      <c r="AL7" s="8">
        <v>600</v>
      </c>
      <c r="AM7" s="8" t="str">
        <v>0%</v>
      </c>
      <c r="AN7" s="12">
        <v>13200</v>
      </c>
      <c r="AO7" s="8" t="str">
        <v>Retail</v>
      </c>
      <c r="AP7" s="8">
        <v>3.6</v>
      </c>
      <c r="AQ7" s="8" t="str">
        <v>good sale</v>
      </c>
    </row>
    <row r="8" spans="1:43" x14ac:dyDescent="0.35">
      <c r="A8" s="8">
        <v>7</v>
      </c>
      <c r="B8" s="8" t="s">
        <v>14</v>
      </c>
      <c r="C8" s="8" t="s">
        <v>17</v>
      </c>
      <c r="D8" s="8" t="s">
        <v>28</v>
      </c>
      <c r="E8" s="8" t="s">
        <v>33</v>
      </c>
      <c r="F8" s="8" t="s">
        <v>40</v>
      </c>
      <c r="G8" s="8">
        <v>12</v>
      </c>
      <c r="H8" s="8">
        <v>200</v>
      </c>
      <c r="I8" s="9" t="s">
        <v>44</v>
      </c>
      <c r="J8" s="12">
        <f t="shared" si="3"/>
        <v>2280</v>
      </c>
      <c r="K8" s="8" t="s">
        <v>47</v>
      </c>
      <c r="L8" s="8">
        <v>3.9</v>
      </c>
      <c r="M8" s="8" t="s">
        <v>53</v>
      </c>
      <c r="P8" s="8" t="str">
        <f t="shared" si="1"/>
        <v>Normal</v>
      </c>
      <c r="V8" s="8" t="str">
        <v>Alice</v>
      </c>
      <c r="W8" s="8" t="str">
        <f t="shared" si="0"/>
        <v>Regular Discount</v>
      </c>
      <c r="Y8" s="8">
        <f>CHOOSE(MATCH(F8, {"Jan";"Feb";"Mar";"Apr";"May";"Jun"}, 0), 1,2,3,4,5,6)</f>
        <v>3</v>
      </c>
      <c r="Z8" s="8" t="str" cm="1">
        <f t="array" ref="Z8">_xlfn.SWITCH(E8,"Electronics","Tech","Furniture","Office","Other")</f>
        <v>Tech</v>
      </c>
      <c r="AA8" s="8">
        <f t="shared" si="2"/>
        <v>2</v>
      </c>
      <c r="AE8" s="8">
        <v>6</v>
      </c>
      <c r="AF8" s="8" t="str">
        <v>North</v>
      </c>
      <c r="AG8" s="8" t="str">
        <v>Alice</v>
      </c>
      <c r="AH8" s="8" t="str">
        <v>Monitor</v>
      </c>
      <c r="AI8" s="8" t="str">
        <v>Electronics</v>
      </c>
      <c r="AJ8" s="8" t="str">
        <v>Jun</v>
      </c>
      <c r="AK8" s="8">
        <v>24</v>
      </c>
      <c r="AL8" s="8">
        <v>600</v>
      </c>
      <c r="AM8" s="8" t="str">
        <v>10%</v>
      </c>
      <c r="AN8" s="12">
        <v>12960</v>
      </c>
      <c r="AO8" s="8" t="str">
        <v>Corporate</v>
      </c>
      <c r="AP8" s="8">
        <v>3.7</v>
      </c>
      <c r="AQ8" s="8" t="str">
        <v>regular order</v>
      </c>
    </row>
    <row r="9" spans="1:43" x14ac:dyDescent="0.35">
      <c r="A9" s="8">
        <v>8</v>
      </c>
      <c r="B9" s="8" t="s">
        <v>13</v>
      </c>
      <c r="C9" s="8" t="s">
        <v>17</v>
      </c>
      <c r="D9" s="8" t="s">
        <v>27</v>
      </c>
      <c r="E9" s="8" t="s">
        <v>33</v>
      </c>
      <c r="F9" s="8" t="s">
        <v>41</v>
      </c>
      <c r="G9" s="8">
        <v>13</v>
      </c>
      <c r="H9" s="8">
        <v>200</v>
      </c>
      <c r="I9" s="9" t="s">
        <v>42</v>
      </c>
      <c r="J9" s="12">
        <f t="shared" si="3"/>
        <v>2340</v>
      </c>
      <c r="K9" s="8" t="s">
        <v>47</v>
      </c>
      <c r="L9" s="8">
        <v>4.3</v>
      </c>
      <c r="M9" s="8" t="s">
        <v>52</v>
      </c>
      <c r="P9" s="8" t="str">
        <f t="shared" si="1"/>
        <v>Normal</v>
      </c>
      <c r="V9" s="8" t="str">
        <v>David</v>
      </c>
      <c r="W9" s="8" t="str">
        <f t="shared" si="0"/>
        <v>Regular Discount</v>
      </c>
      <c r="Y9" s="8">
        <f>CHOOSE(MATCH(F9, {"Jan";"Feb";"Mar";"Apr";"May";"Jun"}, 0), 1,2,3,4,5,6)</f>
        <v>4</v>
      </c>
      <c r="Z9" s="8" t="str" cm="1">
        <f t="array" ref="Z9">_xlfn.SWITCH(E9,"Electronics","Tech","Furniture","Office","Other")</f>
        <v>Tech</v>
      </c>
      <c r="AE9" s="8">
        <v>43</v>
      </c>
      <c r="AF9" s="8" t="str">
        <v>South</v>
      </c>
      <c r="AG9" s="8" t="str">
        <v>David</v>
      </c>
      <c r="AH9" s="8" t="str">
        <v>Tablet</v>
      </c>
      <c r="AI9" s="8" t="str">
        <v>Electronics</v>
      </c>
      <c r="AJ9" s="8" t="str">
        <v>Jan</v>
      </c>
      <c r="AK9" s="8">
        <v>19</v>
      </c>
      <c r="AL9" s="8">
        <v>600</v>
      </c>
      <c r="AM9" s="8" t="str">
        <v>5%</v>
      </c>
      <c r="AN9" s="12">
        <v>10830</v>
      </c>
      <c r="AO9" s="8" t="str">
        <v>Education</v>
      </c>
      <c r="AP9" s="8">
        <v>4.5999999999999996</v>
      </c>
      <c r="AQ9" s="8" t="str">
        <v>high demand</v>
      </c>
    </row>
    <row r="10" spans="1:43" x14ac:dyDescent="0.35">
      <c r="A10" s="13">
        <v>9</v>
      </c>
      <c r="B10" s="13" t="s">
        <v>15</v>
      </c>
      <c r="C10" s="13" t="s">
        <v>18</v>
      </c>
      <c r="D10" s="13" t="s">
        <v>27</v>
      </c>
      <c r="E10" s="13" t="s">
        <v>33</v>
      </c>
      <c r="F10" s="13" t="s">
        <v>39</v>
      </c>
      <c r="G10" s="13">
        <v>27</v>
      </c>
      <c r="H10" s="13">
        <v>350</v>
      </c>
      <c r="I10" s="14" t="s">
        <v>42</v>
      </c>
      <c r="J10" s="15">
        <f t="shared" si="3"/>
        <v>8505</v>
      </c>
      <c r="K10" s="13" t="s">
        <v>47</v>
      </c>
      <c r="L10" s="13">
        <v>3.9</v>
      </c>
      <c r="M10" s="13" t="s">
        <v>50</v>
      </c>
      <c r="P10" s="8" t="str">
        <f t="shared" si="1"/>
        <v>Normal</v>
      </c>
      <c r="V10" s="8" t="str">
        <v>Emma</v>
      </c>
      <c r="W10" s="8" t="str">
        <f t="shared" si="0"/>
        <v>Regular Discount</v>
      </c>
      <c r="Y10" s="8">
        <f>CHOOSE(MATCH(F10, {"Jan";"Feb";"Mar";"Apr";"May";"Jun"}, 0), 1,2,3,4,5,6)</f>
        <v>1</v>
      </c>
      <c r="Z10" s="8" t="str" cm="1">
        <f t="array" ref="Z10">_xlfn.SWITCH(E10,"Electronics","Tech","Furniture","Office","Other")</f>
        <v>Tech</v>
      </c>
      <c r="AE10" s="8">
        <v>19</v>
      </c>
      <c r="AF10" s="8" t="str">
        <v>South</v>
      </c>
      <c r="AG10" s="8" t="str">
        <v>Emma</v>
      </c>
      <c r="AH10" s="8" t="str">
        <v>Tablet</v>
      </c>
      <c r="AI10" s="8" t="str">
        <v>Electronics</v>
      </c>
      <c r="AJ10" s="8" t="str">
        <v>Apr</v>
      </c>
      <c r="AK10" s="8">
        <v>13</v>
      </c>
      <c r="AL10" s="8">
        <v>800</v>
      </c>
      <c r="AM10" s="8" t="str">
        <v>0%</v>
      </c>
      <c r="AN10" s="12">
        <v>10400</v>
      </c>
      <c r="AO10" s="8" t="str">
        <v>Education</v>
      </c>
      <c r="AP10" s="8">
        <v>4.7</v>
      </c>
      <c r="AQ10" s="8" t="str">
        <v>steady buyer</v>
      </c>
    </row>
    <row r="11" spans="1:43" x14ac:dyDescent="0.35">
      <c r="A11" s="8">
        <v>10</v>
      </c>
      <c r="B11" s="8" t="s">
        <v>14</v>
      </c>
      <c r="C11" s="8" t="s">
        <v>18</v>
      </c>
      <c r="D11" s="8" t="s">
        <v>30</v>
      </c>
      <c r="E11" s="8" t="s">
        <v>35</v>
      </c>
      <c r="F11" s="8" t="s">
        <v>36</v>
      </c>
      <c r="G11" s="8">
        <v>7</v>
      </c>
      <c r="H11" s="8">
        <v>350</v>
      </c>
      <c r="I11" s="9" t="s">
        <v>42</v>
      </c>
      <c r="J11" s="12">
        <f t="shared" si="3"/>
        <v>2205</v>
      </c>
      <c r="K11" s="8" t="s">
        <v>47</v>
      </c>
      <c r="L11" s="8">
        <v>4.5999999999999996</v>
      </c>
      <c r="M11" s="8" t="s">
        <v>50</v>
      </c>
      <c r="P11" s="8" t="str">
        <f t="shared" si="1"/>
        <v>Normal</v>
      </c>
      <c r="V11" s="8" t="str">
        <v>Helen</v>
      </c>
      <c r="W11" s="8" t="str">
        <f t="shared" si="0"/>
        <v>Premium Discount</v>
      </c>
      <c r="Y11" s="8">
        <f>CHOOSE(MATCH(F11, {"Jan";"Feb";"Mar";"Apr";"May";"Jun"}, 0), 1,2,3,4,5,6)</f>
        <v>6</v>
      </c>
      <c r="Z11" s="8" t="str" cm="1">
        <f t="array" ref="Z11">_xlfn.SWITCH(E11,"Electronics","Tech","Furniture","Office","Other")</f>
        <v>Other</v>
      </c>
      <c r="AE11" s="8">
        <v>32</v>
      </c>
      <c r="AF11" s="8" t="str">
        <v>East</v>
      </c>
      <c r="AG11" s="8" t="str">
        <v>Helen</v>
      </c>
      <c r="AH11" s="8" t="str">
        <v>Tablet</v>
      </c>
      <c r="AI11" s="8" t="str">
        <v>Electronics</v>
      </c>
      <c r="AJ11" s="8" t="str">
        <v>Mar</v>
      </c>
      <c r="AK11" s="8">
        <v>13</v>
      </c>
      <c r="AL11" s="8">
        <v>800</v>
      </c>
      <c r="AM11" s="8" t="str">
        <v>0%</v>
      </c>
      <c r="AN11" s="12">
        <v>10400</v>
      </c>
      <c r="AO11" s="8" t="str">
        <v>Corporate</v>
      </c>
      <c r="AP11" s="8">
        <v>4.4000000000000004</v>
      </c>
      <c r="AQ11" s="8" t="str">
        <v>good sale</v>
      </c>
    </row>
    <row r="12" spans="1:43" x14ac:dyDescent="0.35">
      <c r="A12" s="8">
        <v>11</v>
      </c>
      <c r="B12" s="8" t="s">
        <v>14</v>
      </c>
      <c r="C12" s="8" t="s">
        <v>22</v>
      </c>
      <c r="D12" s="8" t="s">
        <v>27</v>
      </c>
      <c r="E12" s="8" t="s">
        <v>33</v>
      </c>
      <c r="F12" s="8" t="s">
        <v>41</v>
      </c>
      <c r="G12" s="8">
        <v>19</v>
      </c>
      <c r="H12" s="8">
        <v>300</v>
      </c>
      <c r="I12" s="9" t="s">
        <v>44</v>
      </c>
      <c r="J12" s="12">
        <f t="shared" si="3"/>
        <v>5415</v>
      </c>
      <c r="K12" s="8" t="s">
        <v>46</v>
      </c>
      <c r="L12" s="8">
        <v>3.7</v>
      </c>
      <c r="M12" s="8" t="s">
        <v>50</v>
      </c>
      <c r="P12" s="8" t="str">
        <f t="shared" si="1"/>
        <v>Normal</v>
      </c>
      <c r="V12" s="8" t="str">
        <v>Carol</v>
      </c>
      <c r="W12" s="8" t="str">
        <f t="shared" si="0"/>
        <v>Regular Discount</v>
      </c>
      <c r="Y12" s="8">
        <f>CHOOSE(MATCH(F12, {"Jan";"Feb";"Mar";"Apr";"May";"Jun"}, 0), 1,2,3,4,5,6)</f>
        <v>4</v>
      </c>
      <c r="Z12" s="8" t="str" cm="1">
        <f t="array" ref="Z12">_xlfn.SWITCH(E12,"Electronics","Tech","Furniture","Office","Other")</f>
        <v>Tech</v>
      </c>
      <c r="AE12" s="8">
        <v>28</v>
      </c>
      <c r="AF12" s="8" t="str">
        <v>West</v>
      </c>
      <c r="AG12" s="8" t="str">
        <v>Carol</v>
      </c>
      <c r="AH12" s="8" t="str">
        <v>Desk</v>
      </c>
      <c r="AI12" s="8" t="str">
        <v>Furniture</v>
      </c>
      <c r="AJ12" s="8" t="str">
        <v>Feb</v>
      </c>
      <c r="AK12" s="8">
        <v>14</v>
      </c>
      <c r="AL12" s="8">
        <v>800</v>
      </c>
      <c r="AM12" s="8" t="str">
        <v>10%</v>
      </c>
      <c r="AN12" s="12">
        <v>10080</v>
      </c>
      <c r="AO12" s="8" t="str">
        <v>Retail</v>
      </c>
      <c r="AP12" s="8">
        <v>4.7</v>
      </c>
      <c r="AQ12" s="8" t="str">
        <v>high demand</v>
      </c>
    </row>
    <row r="13" spans="1:43" x14ac:dyDescent="0.35">
      <c r="A13" s="8">
        <v>12</v>
      </c>
      <c r="B13" s="8" t="s">
        <v>15</v>
      </c>
      <c r="C13" s="8" t="s">
        <v>20</v>
      </c>
      <c r="D13" s="8" t="s">
        <v>30</v>
      </c>
      <c r="E13" s="8" t="s">
        <v>35</v>
      </c>
      <c r="F13" s="8" t="s">
        <v>38</v>
      </c>
      <c r="G13" s="8">
        <v>12</v>
      </c>
      <c r="H13" s="8">
        <v>300</v>
      </c>
      <c r="I13" s="9" t="s">
        <v>42</v>
      </c>
      <c r="J13" s="12">
        <f t="shared" si="3"/>
        <v>3240</v>
      </c>
      <c r="K13" s="8" t="s">
        <v>46</v>
      </c>
      <c r="L13" s="8">
        <v>4.0999999999999996</v>
      </c>
      <c r="M13" s="8" t="s">
        <v>54</v>
      </c>
      <c r="P13" s="8" t="str">
        <f t="shared" si="1"/>
        <v>Normal</v>
      </c>
      <c r="V13" s="8" t="str">
        <v>Grace</v>
      </c>
      <c r="W13" s="8" t="str">
        <f t="shared" si="0"/>
        <v>Regular Discount</v>
      </c>
      <c r="Y13" s="8">
        <f>CHOOSE(MATCH(F13, {"Jan";"Feb";"Mar";"Apr";"May";"Jun"}, 0), 1,2,3,4,5,6)</f>
        <v>2</v>
      </c>
      <c r="Z13" s="8" t="str" cm="1">
        <f t="array" ref="Z13">_xlfn.SWITCH(E13,"Electronics","Tech","Furniture","Office","Other")</f>
        <v>Other</v>
      </c>
    </row>
    <row r="14" spans="1:43" x14ac:dyDescent="0.35">
      <c r="A14" s="8">
        <v>13</v>
      </c>
      <c r="B14" s="8" t="s">
        <v>16</v>
      </c>
      <c r="C14" s="8" t="s">
        <v>23</v>
      </c>
      <c r="D14" s="8" t="s">
        <v>27</v>
      </c>
      <c r="E14" s="8" t="s">
        <v>33</v>
      </c>
      <c r="F14" s="8" t="s">
        <v>40</v>
      </c>
      <c r="G14" s="8">
        <v>18</v>
      </c>
      <c r="H14" s="8">
        <v>200</v>
      </c>
      <c r="I14" s="9" t="s">
        <v>44</v>
      </c>
      <c r="J14" s="12">
        <f t="shared" si="3"/>
        <v>3420</v>
      </c>
      <c r="K14" s="8" t="s">
        <v>46</v>
      </c>
      <c r="L14" s="8">
        <v>4</v>
      </c>
      <c r="M14" s="8" t="s">
        <v>49</v>
      </c>
      <c r="P14" s="8" t="str">
        <f t="shared" si="1"/>
        <v>Normal</v>
      </c>
      <c r="V14" s="8" t="str">
        <v>Ian</v>
      </c>
      <c r="W14" s="8" t="str">
        <f t="shared" si="0"/>
        <v>Regular Discount</v>
      </c>
      <c r="Y14" s="8">
        <f>CHOOSE(MATCH(F14, {"Jan";"Feb";"Mar";"Apr";"May";"Jun"}, 0), 1,2,3,4,5,6)</f>
        <v>3</v>
      </c>
      <c r="Z14" s="8" t="str" cm="1">
        <f t="array" ref="Z14">_xlfn.SWITCH(E14,"Electronics","Tech","Furniture","Office","Other")</f>
        <v>Tech</v>
      </c>
    </row>
    <row r="15" spans="1:43" x14ac:dyDescent="0.35">
      <c r="A15" s="8">
        <v>14</v>
      </c>
      <c r="B15" s="8" t="s">
        <v>14</v>
      </c>
      <c r="C15" s="8" t="s">
        <v>24</v>
      </c>
      <c r="D15" s="8" t="s">
        <v>27</v>
      </c>
      <c r="E15" s="8" t="s">
        <v>33</v>
      </c>
      <c r="F15" s="8" t="s">
        <v>39</v>
      </c>
      <c r="G15" s="8">
        <v>28</v>
      </c>
      <c r="H15" s="8">
        <v>200</v>
      </c>
      <c r="I15" s="9" t="s">
        <v>42</v>
      </c>
      <c r="J15" s="12">
        <f t="shared" si="3"/>
        <v>5040</v>
      </c>
      <c r="K15" s="8" t="s">
        <v>47</v>
      </c>
      <c r="L15" s="8">
        <v>4.7</v>
      </c>
      <c r="M15" s="8" t="s">
        <v>50</v>
      </c>
      <c r="P15" s="8" t="str">
        <f t="shared" si="1"/>
        <v>Normal</v>
      </c>
      <c r="V15" s="8" t="str">
        <v>David</v>
      </c>
      <c r="W15" s="8" t="str">
        <f t="shared" si="0"/>
        <v>Premium Discount</v>
      </c>
      <c r="Y15" s="8">
        <f>CHOOSE(MATCH(F15, {"Jan";"Feb";"Mar";"Apr";"May";"Jun"}, 0), 1,2,3,4,5,6)</f>
        <v>1</v>
      </c>
      <c r="Z15" s="8" t="str" cm="1">
        <f t="array" ref="Z15">_xlfn.SWITCH(E15,"Electronics","Tech","Furniture","Office","Other")</f>
        <v>Tech</v>
      </c>
    </row>
    <row r="16" spans="1:43" x14ac:dyDescent="0.35">
      <c r="A16" s="8">
        <v>15</v>
      </c>
      <c r="B16" s="8" t="s">
        <v>14</v>
      </c>
      <c r="C16" s="8" t="s">
        <v>23</v>
      </c>
      <c r="D16" s="8" t="s">
        <v>31</v>
      </c>
      <c r="E16" s="8" t="s">
        <v>33</v>
      </c>
      <c r="F16" s="8" t="s">
        <v>38</v>
      </c>
      <c r="G16" s="8">
        <v>19</v>
      </c>
      <c r="H16" s="8">
        <v>120</v>
      </c>
      <c r="I16" s="9" t="s">
        <v>42</v>
      </c>
      <c r="J16" s="12">
        <f t="shared" si="3"/>
        <v>2052</v>
      </c>
      <c r="K16" s="8" t="s">
        <v>46</v>
      </c>
      <c r="L16" s="8">
        <v>4.5999999999999996</v>
      </c>
      <c r="M16" s="8" t="s">
        <v>51</v>
      </c>
      <c r="P16" s="8" t="str">
        <f t="shared" si="1"/>
        <v>Normal</v>
      </c>
      <c r="V16" s="8" t="str">
        <v>David</v>
      </c>
      <c r="W16" s="8" t="str">
        <f t="shared" si="0"/>
        <v>Premium Discount</v>
      </c>
      <c r="Y16" s="8">
        <f>CHOOSE(MATCH(F16, {"Jan";"Feb";"Mar";"Apr";"May";"Jun"}, 0), 1,2,3,4,5,6)</f>
        <v>2</v>
      </c>
      <c r="Z16" s="8" t="str" cm="1">
        <f t="array" ref="Z16">_xlfn.SWITCH(E16,"Electronics","Tech","Furniture","Office","Other")</f>
        <v>Tech</v>
      </c>
    </row>
    <row r="17" spans="1:26" x14ac:dyDescent="0.35">
      <c r="A17" s="8">
        <v>16</v>
      </c>
      <c r="B17" s="8" t="s">
        <v>13</v>
      </c>
      <c r="C17" s="8" t="s">
        <v>23</v>
      </c>
      <c r="D17" s="8" t="s">
        <v>27</v>
      </c>
      <c r="E17" s="8" t="s">
        <v>33</v>
      </c>
      <c r="F17" s="8" t="s">
        <v>37</v>
      </c>
      <c r="G17" s="8">
        <v>14</v>
      </c>
      <c r="H17" s="8">
        <v>350</v>
      </c>
      <c r="I17" s="9" t="s">
        <v>43</v>
      </c>
      <c r="J17" s="12">
        <f t="shared" si="3"/>
        <v>4900</v>
      </c>
      <c r="K17" s="8" t="s">
        <v>45</v>
      </c>
      <c r="L17" s="8">
        <v>4</v>
      </c>
      <c r="M17" s="8" t="s">
        <v>55</v>
      </c>
      <c r="P17" s="8" t="str">
        <f t="shared" si="1"/>
        <v>Normal</v>
      </c>
      <c r="V17" s="8" t="str">
        <v>Grace</v>
      </c>
      <c r="W17" s="8" t="str">
        <f t="shared" si="0"/>
        <v>Regular Discount</v>
      </c>
      <c r="Z17" s="8" t="str" cm="1">
        <f t="array" ref="Z17">_xlfn.SWITCH(E17,"Electronics","Tech","Furniture","Office","Other")</f>
        <v>Tech</v>
      </c>
    </row>
    <row r="18" spans="1:26" x14ac:dyDescent="0.35">
      <c r="A18" s="8">
        <v>17</v>
      </c>
      <c r="B18" s="8" t="s">
        <v>14</v>
      </c>
      <c r="C18" s="8" t="s">
        <v>18</v>
      </c>
      <c r="D18" s="8" t="s">
        <v>30</v>
      </c>
      <c r="E18" s="8" t="s">
        <v>35</v>
      </c>
      <c r="F18" s="8" t="s">
        <v>39</v>
      </c>
      <c r="G18" s="8">
        <v>20</v>
      </c>
      <c r="H18" s="8">
        <v>120</v>
      </c>
      <c r="I18" s="9" t="s">
        <v>43</v>
      </c>
      <c r="J18" s="12">
        <f t="shared" si="3"/>
        <v>2400</v>
      </c>
      <c r="K18" s="8" t="s">
        <v>45</v>
      </c>
      <c r="L18" s="8">
        <v>4.7</v>
      </c>
      <c r="M18" s="8" t="s">
        <v>55</v>
      </c>
      <c r="P18" s="8" t="str">
        <f t="shared" si="1"/>
        <v>Normal</v>
      </c>
      <c r="V18" s="8" t="str">
        <v>David</v>
      </c>
      <c r="W18" s="8" t="str">
        <f t="shared" si="0"/>
        <v>Premium Discount</v>
      </c>
      <c r="Z18" s="8" t="str" cm="1">
        <f t="array" ref="Z18">_xlfn.SWITCH(E18,"Electronics","Tech","Furniture","Office","Other")</f>
        <v>Other</v>
      </c>
    </row>
    <row r="19" spans="1:26" x14ac:dyDescent="0.35">
      <c r="A19" s="8">
        <v>18</v>
      </c>
      <c r="B19" s="8" t="s">
        <v>13</v>
      </c>
      <c r="C19" s="8" t="s">
        <v>17</v>
      </c>
      <c r="D19" s="8" t="s">
        <v>28</v>
      </c>
      <c r="E19" s="8" t="s">
        <v>33</v>
      </c>
      <c r="F19" s="8" t="s">
        <v>36</v>
      </c>
      <c r="G19" s="8">
        <v>7</v>
      </c>
      <c r="H19" s="8">
        <v>850</v>
      </c>
      <c r="I19" s="9" t="s">
        <v>43</v>
      </c>
      <c r="J19" s="12">
        <f t="shared" si="3"/>
        <v>5950</v>
      </c>
      <c r="K19" s="8" t="s">
        <v>47</v>
      </c>
      <c r="L19" s="8">
        <v>4.8</v>
      </c>
      <c r="M19" s="8" t="s">
        <v>48</v>
      </c>
      <c r="P19" s="8" t="str">
        <f t="shared" si="1"/>
        <v>Normal</v>
      </c>
      <c r="V19" s="8" t="str">
        <v>Alice</v>
      </c>
      <c r="W19" s="8" t="str">
        <f t="shared" si="0"/>
        <v>Premium Discount</v>
      </c>
      <c r="Z19" s="8" t="str" cm="1">
        <f t="array" ref="Z19">_xlfn.SWITCH(E19,"Electronics","Tech","Furniture","Office","Other")</f>
        <v>Tech</v>
      </c>
    </row>
    <row r="20" spans="1:26" x14ac:dyDescent="0.35">
      <c r="A20" s="13">
        <v>19</v>
      </c>
      <c r="B20" s="13" t="s">
        <v>13</v>
      </c>
      <c r="C20" s="13" t="s">
        <v>25</v>
      </c>
      <c r="D20" s="13" t="s">
        <v>31</v>
      </c>
      <c r="E20" s="13" t="s">
        <v>33</v>
      </c>
      <c r="F20" s="13" t="s">
        <v>41</v>
      </c>
      <c r="G20" s="13">
        <v>13</v>
      </c>
      <c r="H20" s="13">
        <v>800</v>
      </c>
      <c r="I20" s="14" t="s">
        <v>43</v>
      </c>
      <c r="J20" s="15">
        <f t="shared" si="3"/>
        <v>10400</v>
      </c>
      <c r="K20" s="13" t="s">
        <v>46</v>
      </c>
      <c r="L20" s="13">
        <v>4.7</v>
      </c>
      <c r="M20" s="13" t="s">
        <v>56</v>
      </c>
      <c r="P20" s="8" t="str">
        <f t="shared" si="1"/>
        <v>High</v>
      </c>
      <c r="V20" s="8" t="str">
        <v>Emma</v>
      </c>
      <c r="W20" s="8" t="str">
        <f t="shared" si="0"/>
        <v>Premium Discount</v>
      </c>
      <c r="Z20" s="8" t="str" cm="1">
        <f t="array" ref="Z20">_xlfn.SWITCH(E20,"Electronics","Tech","Furniture","Office","Other")</f>
        <v>Tech</v>
      </c>
    </row>
    <row r="21" spans="1:26" x14ac:dyDescent="0.35">
      <c r="A21" s="13">
        <v>20</v>
      </c>
      <c r="B21" s="13" t="s">
        <v>15</v>
      </c>
      <c r="C21" s="13" t="s">
        <v>24</v>
      </c>
      <c r="D21" s="13" t="s">
        <v>32</v>
      </c>
      <c r="E21" s="13" t="s">
        <v>34</v>
      </c>
      <c r="F21" s="13" t="s">
        <v>39</v>
      </c>
      <c r="G21" s="13">
        <v>21</v>
      </c>
      <c r="H21" s="13">
        <v>850</v>
      </c>
      <c r="I21" s="14" t="s">
        <v>43</v>
      </c>
      <c r="J21" s="15">
        <f t="shared" si="3"/>
        <v>17850</v>
      </c>
      <c r="K21" s="13" t="s">
        <v>46</v>
      </c>
      <c r="L21" s="13">
        <v>3.8</v>
      </c>
      <c r="M21" s="13" t="s">
        <v>48</v>
      </c>
      <c r="P21" s="8" t="str">
        <f t="shared" si="1"/>
        <v>High</v>
      </c>
      <c r="V21" s="8" t="str">
        <v>Emma</v>
      </c>
      <c r="W21" s="8" t="str">
        <f t="shared" si="0"/>
        <v>Regular Discount</v>
      </c>
      <c r="Z21" s="8" t="str" cm="1">
        <f t="array" ref="Z21">_xlfn.SWITCH(E21,"Electronics","Tech","Furniture","Office","Other")</f>
        <v>Office</v>
      </c>
    </row>
    <row r="22" spans="1:26" x14ac:dyDescent="0.35">
      <c r="A22" s="13">
        <v>21</v>
      </c>
      <c r="B22" s="13" t="s">
        <v>15</v>
      </c>
      <c r="C22" s="13" t="s">
        <v>18</v>
      </c>
      <c r="D22" s="13" t="s">
        <v>31</v>
      </c>
      <c r="E22" s="13" t="s">
        <v>33</v>
      </c>
      <c r="F22" s="13" t="s">
        <v>39</v>
      </c>
      <c r="G22" s="13">
        <v>23</v>
      </c>
      <c r="H22" s="13">
        <v>350</v>
      </c>
      <c r="I22" s="14" t="s">
        <v>43</v>
      </c>
      <c r="J22" s="15">
        <f t="shared" si="3"/>
        <v>8050</v>
      </c>
      <c r="K22" s="13" t="s">
        <v>45</v>
      </c>
      <c r="L22" s="13">
        <v>3.6</v>
      </c>
      <c r="M22" s="13" t="s">
        <v>56</v>
      </c>
      <c r="P22" s="8" t="str">
        <f t="shared" si="1"/>
        <v>Normal</v>
      </c>
      <c r="V22" s="8" t="str">
        <v>Ian</v>
      </c>
      <c r="W22" s="8" t="str">
        <f t="shared" si="0"/>
        <v>Regular Discount</v>
      </c>
      <c r="Z22" s="8" t="str" cm="1">
        <f t="array" ref="Z22">_xlfn.SWITCH(E22,"Electronics","Tech","Furniture","Office","Other")</f>
        <v>Tech</v>
      </c>
    </row>
    <row r="23" spans="1:26" x14ac:dyDescent="0.35">
      <c r="A23" s="8">
        <v>22</v>
      </c>
      <c r="B23" s="8" t="s">
        <v>13</v>
      </c>
      <c r="C23" s="8" t="s">
        <v>23</v>
      </c>
      <c r="D23" s="8" t="s">
        <v>28</v>
      </c>
      <c r="E23" s="8" t="s">
        <v>33</v>
      </c>
      <c r="F23" s="8" t="s">
        <v>38</v>
      </c>
      <c r="G23" s="8">
        <v>21</v>
      </c>
      <c r="H23" s="8">
        <v>350</v>
      </c>
      <c r="I23" s="9" t="s">
        <v>44</v>
      </c>
      <c r="J23" s="12">
        <f t="shared" si="3"/>
        <v>6982.5</v>
      </c>
      <c r="K23" s="8" t="s">
        <v>46</v>
      </c>
      <c r="L23" s="8">
        <v>4.4000000000000004</v>
      </c>
      <c r="M23" s="8" t="s">
        <v>55</v>
      </c>
      <c r="P23" s="8" t="str">
        <f t="shared" si="1"/>
        <v>Normal</v>
      </c>
      <c r="V23" s="8" t="str">
        <v>Bob</v>
      </c>
      <c r="W23" s="8" t="str">
        <f t="shared" si="0"/>
        <v>Regular Discount</v>
      </c>
      <c r="Z23" s="8" t="str" cm="1">
        <f t="array" ref="Z23">_xlfn.SWITCH(E23,"Electronics","Tech","Furniture","Office","Other")</f>
        <v>Tech</v>
      </c>
    </row>
    <row r="24" spans="1:26" x14ac:dyDescent="0.35">
      <c r="A24" s="8">
        <v>23</v>
      </c>
      <c r="B24" s="8" t="s">
        <v>13</v>
      </c>
      <c r="C24" s="8" t="s">
        <v>20</v>
      </c>
      <c r="D24" s="8" t="s">
        <v>29</v>
      </c>
      <c r="E24" s="8" t="s">
        <v>34</v>
      </c>
      <c r="F24" s="8" t="s">
        <v>39</v>
      </c>
      <c r="G24" s="8">
        <v>20</v>
      </c>
      <c r="H24" s="8">
        <v>350</v>
      </c>
      <c r="I24" s="9" t="s">
        <v>44</v>
      </c>
      <c r="J24" s="12">
        <f t="shared" si="3"/>
        <v>6650</v>
      </c>
      <c r="K24" s="8" t="s">
        <v>46</v>
      </c>
      <c r="L24" s="8">
        <v>4.5</v>
      </c>
      <c r="M24" s="8" t="s">
        <v>50</v>
      </c>
      <c r="P24" s="8" t="str">
        <f t="shared" si="1"/>
        <v>Normal</v>
      </c>
      <c r="V24" s="8" t="str">
        <v>Grace</v>
      </c>
      <c r="W24" s="8" t="str">
        <f t="shared" si="0"/>
        <v>Regular Discount</v>
      </c>
      <c r="Z24" s="8" t="str" cm="1">
        <f t="array" ref="Z24">_xlfn.SWITCH(E24,"Electronics","Tech","Furniture","Office","Other")</f>
        <v>Office</v>
      </c>
    </row>
    <row r="25" spans="1:26" x14ac:dyDescent="0.35">
      <c r="A25" s="13">
        <v>24</v>
      </c>
      <c r="B25" s="13" t="s">
        <v>15</v>
      </c>
      <c r="C25" s="13" t="s">
        <v>20</v>
      </c>
      <c r="D25" s="13" t="s">
        <v>30</v>
      </c>
      <c r="E25" s="13" t="s">
        <v>35</v>
      </c>
      <c r="F25" s="13" t="s">
        <v>39</v>
      </c>
      <c r="G25" s="13">
        <v>18</v>
      </c>
      <c r="H25" s="13">
        <v>800</v>
      </c>
      <c r="I25" s="14" t="s">
        <v>44</v>
      </c>
      <c r="J25" s="15">
        <f t="shared" si="3"/>
        <v>13680</v>
      </c>
      <c r="K25" s="13" t="s">
        <v>47</v>
      </c>
      <c r="L25" s="13">
        <v>4.5999999999999996</v>
      </c>
      <c r="M25" s="13" t="s">
        <v>56</v>
      </c>
      <c r="P25" s="8" t="str">
        <f t="shared" si="1"/>
        <v>High</v>
      </c>
      <c r="V25" s="8" t="str">
        <v>Carol</v>
      </c>
      <c r="W25" s="8" t="str">
        <f t="shared" si="0"/>
        <v>Premium Discount</v>
      </c>
      <c r="Z25" s="8" t="str" cm="1">
        <f t="array" ref="Z25">_xlfn.SWITCH(E25,"Electronics","Tech","Furniture","Office","Other")</f>
        <v>Other</v>
      </c>
    </row>
    <row r="26" spans="1:26" x14ac:dyDescent="0.35">
      <c r="A26" s="8">
        <v>25</v>
      </c>
      <c r="B26" s="8" t="s">
        <v>13</v>
      </c>
      <c r="C26" s="8" t="s">
        <v>21</v>
      </c>
      <c r="D26" s="8" t="s">
        <v>28</v>
      </c>
      <c r="E26" s="8" t="s">
        <v>33</v>
      </c>
      <c r="F26" s="8" t="s">
        <v>38</v>
      </c>
      <c r="G26" s="8">
        <v>12</v>
      </c>
      <c r="H26" s="8">
        <v>350</v>
      </c>
      <c r="I26" s="9" t="s">
        <v>43</v>
      </c>
      <c r="J26" s="12">
        <f t="shared" si="3"/>
        <v>4200</v>
      </c>
      <c r="K26" s="8" t="s">
        <v>47</v>
      </c>
      <c r="L26" s="8">
        <v>4.2</v>
      </c>
      <c r="M26" s="8" t="s">
        <v>57</v>
      </c>
      <c r="P26" s="8" t="str">
        <f t="shared" si="1"/>
        <v>Normal</v>
      </c>
      <c r="V26" s="8" t="str">
        <v>Grace</v>
      </c>
      <c r="W26" s="8" t="str">
        <f t="shared" si="0"/>
        <v>Regular Discount</v>
      </c>
      <c r="Z26" s="8" t="str" cm="1">
        <f t="array" ref="Z26">_xlfn.SWITCH(E26,"Electronics","Tech","Furniture","Office","Other")</f>
        <v>Tech</v>
      </c>
    </row>
    <row r="27" spans="1:26" x14ac:dyDescent="0.35">
      <c r="A27" s="8">
        <v>26</v>
      </c>
      <c r="B27" s="8" t="s">
        <v>15</v>
      </c>
      <c r="C27" s="8" t="s">
        <v>20</v>
      </c>
      <c r="D27" s="8" t="s">
        <v>31</v>
      </c>
      <c r="E27" s="8" t="s">
        <v>33</v>
      </c>
      <c r="F27" s="8" t="s">
        <v>38</v>
      </c>
      <c r="G27" s="8">
        <v>7</v>
      </c>
      <c r="H27" s="8">
        <v>850</v>
      </c>
      <c r="I27" s="9" t="s">
        <v>42</v>
      </c>
      <c r="J27" s="12">
        <f t="shared" si="3"/>
        <v>5355</v>
      </c>
      <c r="K27" s="8" t="s">
        <v>45</v>
      </c>
      <c r="L27" s="8">
        <v>3.6</v>
      </c>
      <c r="M27" s="8" t="s">
        <v>50</v>
      </c>
      <c r="P27" s="8" t="str">
        <f t="shared" si="1"/>
        <v>Normal</v>
      </c>
      <c r="V27" s="8" t="str">
        <v>Frank</v>
      </c>
      <c r="W27" s="8" t="str">
        <f t="shared" si="0"/>
        <v>Regular Discount</v>
      </c>
      <c r="Z27" s="8" t="str" cm="1">
        <f t="array" ref="Z27">_xlfn.SWITCH(E27,"Electronics","Tech","Furniture","Office","Other")</f>
        <v>Tech</v>
      </c>
    </row>
    <row r="28" spans="1:26" x14ac:dyDescent="0.35">
      <c r="A28" s="8">
        <v>27</v>
      </c>
      <c r="B28" s="8" t="s">
        <v>13</v>
      </c>
      <c r="C28" s="8" t="s">
        <v>21</v>
      </c>
      <c r="D28" s="8" t="s">
        <v>32</v>
      </c>
      <c r="E28" s="8" t="s">
        <v>34</v>
      </c>
      <c r="F28" s="8" t="s">
        <v>39</v>
      </c>
      <c r="G28" s="8">
        <v>20</v>
      </c>
      <c r="H28" s="8">
        <v>350</v>
      </c>
      <c r="I28" s="9" t="s">
        <v>44</v>
      </c>
      <c r="J28" s="12">
        <f t="shared" si="3"/>
        <v>6650</v>
      </c>
      <c r="K28" s="8" t="s">
        <v>47</v>
      </c>
      <c r="L28" s="8">
        <v>4.7</v>
      </c>
      <c r="M28" s="8" t="s">
        <v>52</v>
      </c>
      <c r="P28" s="8" t="str">
        <f t="shared" si="1"/>
        <v>Normal</v>
      </c>
      <c r="V28" s="8" t="str">
        <v>Jane</v>
      </c>
      <c r="W28" s="8" t="str">
        <f t="shared" si="0"/>
        <v>Premium Discount</v>
      </c>
      <c r="Z28" s="8" t="str" cm="1">
        <f t="array" ref="Z28">_xlfn.SWITCH(E28,"Electronics","Tech","Furniture","Office","Other")</f>
        <v>Office</v>
      </c>
    </row>
    <row r="29" spans="1:26" x14ac:dyDescent="0.35">
      <c r="A29" s="13">
        <v>28</v>
      </c>
      <c r="B29" s="13" t="s">
        <v>16</v>
      </c>
      <c r="C29" s="13" t="s">
        <v>17</v>
      </c>
      <c r="D29" s="13" t="s">
        <v>32</v>
      </c>
      <c r="E29" s="13" t="s">
        <v>34</v>
      </c>
      <c r="F29" s="13" t="s">
        <v>38</v>
      </c>
      <c r="G29" s="13">
        <v>14</v>
      </c>
      <c r="H29" s="13">
        <v>800</v>
      </c>
      <c r="I29" s="14" t="s">
        <v>42</v>
      </c>
      <c r="J29" s="15">
        <f t="shared" si="3"/>
        <v>10080</v>
      </c>
      <c r="K29" s="13" t="s">
        <v>47</v>
      </c>
      <c r="L29" s="13">
        <v>4.7</v>
      </c>
      <c r="M29" s="13" t="s">
        <v>53</v>
      </c>
      <c r="P29" s="8" t="str">
        <f t="shared" si="1"/>
        <v>High</v>
      </c>
      <c r="V29" s="8" t="str">
        <v>Bob</v>
      </c>
      <c r="W29" s="8" t="str">
        <f t="shared" si="0"/>
        <v>Premium Discount</v>
      </c>
      <c r="Z29" s="8" t="str" cm="1">
        <f t="array" ref="Z29">_xlfn.SWITCH(E29,"Electronics","Tech","Furniture","Office","Other")</f>
        <v>Office</v>
      </c>
    </row>
    <row r="30" spans="1:26" x14ac:dyDescent="0.35">
      <c r="A30" s="8">
        <v>29</v>
      </c>
      <c r="B30" s="8" t="s">
        <v>15</v>
      </c>
      <c r="C30" s="8" t="s">
        <v>22</v>
      </c>
      <c r="D30" s="8" t="s">
        <v>28</v>
      </c>
      <c r="E30" s="8" t="s">
        <v>33</v>
      </c>
      <c r="F30" s="8" t="s">
        <v>41</v>
      </c>
      <c r="G30" s="8">
        <v>23</v>
      </c>
      <c r="H30" s="8">
        <v>120</v>
      </c>
      <c r="I30" s="9" t="s">
        <v>42</v>
      </c>
      <c r="J30" s="12">
        <f t="shared" si="3"/>
        <v>2484</v>
      </c>
      <c r="K30" s="8" t="s">
        <v>46</v>
      </c>
      <c r="L30" s="8">
        <v>3.9</v>
      </c>
      <c r="M30" s="8" t="s">
        <v>48</v>
      </c>
      <c r="P30" s="8" t="str">
        <f t="shared" si="1"/>
        <v>Normal</v>
      </c>
      <c r="V30" s="8" t="str">
        <v>Frank</v>
      </c>
      <c r="W30" s="8" t="str">
        <f t="shared" si="0"/>
        <v>Regular Discount</v>
      </c>
      <c r="Z30" s="8" t="str" cm="1">
        <f t="array" ref="Z30">_xlfn.SWITCH(E30,"Electronics","Tech","Furniture","Office","Other")</f>
        <v>Tech</v>
      </c>
    </row>
    <row r="31" spans="1:26" x14ac:dyDescent="0.35">
      <c r="A31" s="8">
        <v>30</v>
      </c>
      <c r="B31" s="8" t="s">
        <v>15</v>
      </c>
      <c r="C31" s="8" t="s">
        <v>18</v>
      </c>
      <c r="D31" s="8" t="s">
        <v>31</v>
      </c>
      <c r="E31" s="8" t="s">
        <v>33</v>
      </c>
      <c r="F31" s="8" t="s">
        <v>41</v>
      </c>
      <c r="G31" s="8">
        <v>6</v>
      </c>
      <c r="H31" s="8">
        <v>200</v>
      </c>
      <c r="I31" s="9" t="s">
        <v>43</v>
      </c>
      <c r="J31" s="12">
        <f t="shared" si="3"/>
        <v>1200</v>
      </c>
      <c r="K31" s="8" t="s">
        <v>45</v>
      </c>
      <c r="L31" s="8">
        <v>3.6</v>
      </c>
      <c r="M31" s="8" t="s">
        <v>55</v>
      </c>
      <c r="P31" s="8" t="str">
        <f t="shared" si="1"/>
        <v>Normal</v>
      </c>
      <c r="V31" s="8" t="str">
        <v>Ian</v>
      </c>
      <c r="W31" s="8" t="str">
        <f t="shared" si="0"/>
        <v>Regular Discount</v>
      </c>
      <c r="Z31" s="8" t="str" cm="1">
        <f t="array" ref="Z31">_xlfn.SWITCH(E31,"Electronics","Tech","Furniture","Office","Other")</f>
        <v>Tech</v>
      </c>
    </row>
    <row r="32" spans="1:26" x14ac:dyDescent="0.35">
      <c r="A32" s="8">
        <v>31</v>
      </c>
      <c r="B32" s="8" t="s">
        <v>14</v>
      </c>
      <c r="C32" s="8" t="s">
        <v>25</v>
      </c>
      <c r="D32" s="8" t="s">
        <v>31</v>
      </c>
      <c r="E32" s="8" t="s">
        <v>33</v>
      </c>
      <c r="F32" s="8" t="s">
        <v>38</v>
      </c>
      <c r="G32" s="8">
        <v>23</v>
      </c>
      <c r="H32" s="8">
        <v>120</v>
      </c>
      <c r="I32" s="9" t="s">
        <v>42</v>
      </c>
      <c r="J32" s="12">
        <f t="shared" si="3"/>
        <v>2484</v>
      </c>
      <c r="K32" s="8" t="s">
        <v>46</v>
      </c>
      <c r="L32" s="8">
        <v>3.6</v>
      </c>
      <c r="M32" s="8" t="s">
        <v>56</v>
      </c>
      <c r="P32" s="8" t="str">
        <f t="shared" si="1"/>
        <v>Normal</v>
      </c>
      <c r="V32" s="8" t="str">
        <v>Carol</v>
      </c>
      <c r="W32" s="8" t="str">
        <f t="shared" si="0"/>
        <v>Regular Discount</v>
      </c>
      <c r="Z32" s="8" t="str" cm="1">
        <f t="array" ref="Z32">_xlfn.SWITCH(E32,"Electronics","Tech","Furniture","Office","Other")</f>
        <v>Tech</v>
      </c>
    </row>
    <row r="33" spans="1:26" x14ac:dyDescent="0.35">
      <c r="A33" s="13">
        <v>32</v>
      </c>
      <c r="B33" s="13" t="s">
        <v>14</v>
      </c>
      <c r="C33" s="13" t="s">
        <v>26</v>
      </c>
      <c r="D33" s="13" t="s">
        <v>31</v>
      </c>
      <c r="E33" s="13" t="s">
        <v>33</v>
      </c>
      <c r="F33" s="13" t="s">
        <v>40</v>
      </c>
      <c r="G33" s="13">
        <v>13</v>
      </c>
      <c r="H33" s="13">
        <v>800</v>
      </c>
      <c r="I33" s="14" t="s">
        <v>43</v>
      </c>
      <c r="J33" s="15">
        <f t="shared" si="3"/>
        <v>10400</v>
      </c>
      <c r="K33" s="13" t="s">
        <v>45</v>
      </c>
      <c r="L33" s="13">
        <v>4.4000000000000004</v>
      </c>
      <c r="M33" s="13" t="s">
        <v>49</v>
      </c>
      <c r="P33" s="8" t="str">
        <f t="shared" si="1"/>
        <v>High</v>
      </c>
      <c r="V33" s="8" t="str">
        <v>Ian</v>
      </c>
      <c r="W33" s="8" t="str">
        <f t="shared" si="0"/>
        <v>Regular Discount</v>
      </c>
      <c r="Z33" s="8" t="str" cm="1">
        <f t="array" ref="Z33">_xlfn.SWITCH(E33,"Electronics","Tech","Furniture","Office","Other")</f>
        <v>Tech</v>
      </c>
    </row>
    <row r="34" spans="1:26" x14ac:dyDescent="0.35">
      <c r="A34" s="8">
        <v>33</v>
      </c>
      <c r="B34" s="8" t="s">
        <v>14</v>
      </c>
      <c r="C34" s="8" t="s">
        <v>17</v>
      </c>
      <c r="D34" s="8" t="s">
        <v>32</v>
      </c>
      <c r="E34" s="8" t="s">
        <v>34</v>
      </c>
      <c r="F34" s="8" t="s">
        <v>40</v>
      </c>
      <c r="G34" s="8">
        <v>24</v>
      </c>
      <c r="H34" s="8">
        <v>200</v>
      </c>
      <c r="I34" s="9" t="s">
        <v>43</v>
      </c>
      <c r="J34" s="12">
        <f t="shared" si="3"/>
        <v>4800</v>
      </c>
      <c r="K34" s="8" t="s">
        <v>45</v>
      </c>
      <c r="L34" s="8">
        <v>4.2</v>
      </c>
      <c r="M34" s="8" t="s">
        <v>53</v>
      </c>
      <c r="P34" s="8" t="str">
        <f t="shared" si="1"/>
        <v>Normal</v>
      </c>
      <c r="V34" s="8" t="str">
        <v>David</v>
      </c>
      <c r="W34" s="8" t="str">
        <f t="shared" ref="W34:W51" si="4">IF(AND(I34&gt;=5%,L34&gt;4.5),"Premium Discount","Regular Discount")</f>
        <v>Regular Discount</v>
      </c>
      <c r="Z34" s="8" t="str" cm="1">
        <f t="array" ref="Z34">_xlfn.SWITCH(E34,"Electronics","Tech","Furniture","Office","Other")</f>
        <v>Office</v>
      </c>
    </row>
    <row r="35" spans="1:26" x14ac:dyDescent="0.35">
      <c r="A35" s="8">
        <v>34</v>
      </c>
      <c r="B35" s="8" t="s">
        <v>14</v>
      </c>
      <c r="C35" s="8" t="s">
        <v>22</v>
      </c>
      <c r="D35" s="8" t="s">
        <v>30</v>
      </c>
      <c r="E35" s="8" t="s">
        <v>35</v>
      </c>
      <c r="F35" s="8" t="s">
        <v>36</v>
      </c>
      <c r="G35" s="8">
        <v>14</v>
      </c>
      <c r="H35" s="8">
        <v>300</v>
      </c>
      <c r="I35" s="9" t="s">
        <v>44</v>
      </c>
      <c r="J35" s="12">
        <f t="shared" si="3"/>
        <v>3990</v>
      </c>
      <c r="K35" s="8" t="s">
        <v>46</v>
      </c>
      <c r="L35" s="8">
        <v>4.5999999999999996</v>
      </c>
      <c r="M35" s="8" t="s">
        <v>49</v>
      </c>
      <c r="P35" s="8" t="str">
        <f t="shared" si="1"/>
        <v>Normal</v>
      </c>
      <c r="V35" s="8" t="str">
        <v>Grace</v>
      </c>
      <c r="W35" s="8" t="str">
        <f t="shared" si="4"/>
        <v>Premium Discount</v>
      </c>
      <c r="Z35" s="8" t="str" cm="1">
        <f t="array" ref="Z35">_xlfn.SWITCH(E35,"Electronics","Tech","Furniture","Office","Other")</f>
        <v>Other</v>
      </c>
    </row>
    <row r="36" spans="1:26" x14ac:dyDescent="0.35">
      <c r="A36" s="8">
        <v>35</v>
      </c>
      <c r="B36" s="8" t="s">
        <v>13</v>
      </c>
      <c r="C36" s="8" t="s">
        <v>25</v>
      </c>
      <c r="D36" s="8" t="s">
        <v>27</v>
      </c>
      <c r="E36" s="8" t="s">
        <v>33</v>
      </c>
      <c r="F36" s="8" t="s">
        <v>39</v>
      </c>
      <c r="G36" s="8">
        <v>22</v>
      </c>
      <c r="H36" s="8">
        <v>370</v>
      </c>
      <c r="I36" s="9" t="s">
        <v>42</v>
      </c>
      <c r="J36" s="12">
        <f t="shared" si="3"/>
        <v>7326</v>
      </c>
      <c r="K36" s="8" t="s">
        <v>45</v>
      </c>
      <c r="L36" s="8">
        <v>3.6</v>
      </c>
      <c r="M36" s="8" t="s">
        <v>48</v>
      </c>
      <c r="P36" s="8" t="str">
        <f t="shared" si="1"/>
        <v>Normal</v>
      </c>
      <c r="V36" s="8" t="str">
        <v>Jane</v>
      </c>
      <c r="W36" s="8" t="str">
        <f t="shared" si="4"/>
        <v>Regular Discount</v>
      </c>
      <c r="Z36" s="8" t="str" cm="1">
        <f t="array" ref="Z36">_xlfn.SWITCH(E36,"Electronics","Tech","Furniture","Office","Other")</f>
        <v>Tech</v>
      </c>
    </row>
    <row r="37" spans="1:26" x14ac:dyDescent="0.35">
      <c r="A37" s="8">
        <v>36</v>
      </c>
      <c r="B37" s="8" t="s">
        <v>14</v>
      </c>
      <c r="C37" s="8" t="s">
        <v>18</v>
      </c>
      <c r="D37" s="8" t="s">
        <v>31</v>
      </c>
      <c r="E37" s="8" t="s">
        <v>33</v>
      </c>
      <c r="F37" s="8" t="s">
        <v>36</v>
      </c>
      <c r="G37" s="8">
        <v>13</v>
      </c>
      <c r="H37" s="8">
        <v>370</v>
      </c>
      <c r="I37" s="9" t="s">
        <v>42</v>
      </c>
      <c r="J37" s="12">
        <f t="shared" si="3"/>
        <v>4329</v>
      </c>
      <c r="K37" s="8" t="s">
        <v>46</v>
      </c>
      <c r="L37" s="8">
        <v>3.8</v>
      </c>
      <c r="M37" s="8" t="s">
        <v>52</v>
      </c>
      <c r="P37" s="8" t="str">
        <f t="shared" si="1"/>
        <v>Normal</v>
      </c>
      <c r="V37" s="8" t="str">
        <v>Bob</v>
      </c>
      <c r="W37" s="8" t="str">
        <f t="shared" si="4"/>
        <v>Regular Discount</v>
      </c>
      <c r="Z37" s="8" t="str" cm="1">
        <f t="array" ref="Z37">_xlfn.SWITCH(E37,"Electronics","Tech","Furniture","Office","Other")</f>
        <v>Tech</v>
      </c>
    </row>
    <row r="38" spans="1:26" x14ac:dyDescent="0.35">
      <c r="A38" s="8">
        <v>37</v>
      </c>
      <c r="B38" s="8" t="s">
        <v>16</v>
      </c>
      <c r="C38" s="8" t="s">
        <v>25</v>
      </c>
      <c r="D38" s="8" t="s">
        <v>29</v>
      </c>
      <c r="E38" s="8" t="s">
        <v>34</v>
      </c>
      <c r="F38" s="8" t="s">
        <v>39</v>
      </c>
      <c r="G38" s="8">
        <v>20</v>
      </c>
      <c r="H38" s="8">
        <v>370</v>
      </c>
      <c r="I38" s="9" t="s">
        <v>43</v>
      </c>
      <c r="J38" s="12">
        <f t="shared" si="3"/>
        <v>7400</v>
      </c>
      <c r="K38" s="8" t="s">
        <v>45</v>
      </c>
      <c r="L38" s="8">
        <v>3.6</v>
      </c>
      <c r="M38" s="8" t="s">
        <v>56</v>
      </c>
      <c r="P38" s="8" t="str">
        <f t="shared" si="1"/>
        <v>Normal</v>
      </c>
      <c r="V38" s="8" t="str">
        <v>Ian</v>
      </c>
      <c r="W38" s="8" t="str">
        <f t="shared" si="4"/>
        <v>Regular Discount</v>
      </c>
      <c r="Z38" s="8" t="str" cm="1">
        <f t="array" ref="Z38">_xlfn.SWITCH(E38,"Electronics","Tech","Furniture","Office","Other")</f>
        <v>Office</v>
      </c>
    </row>
    <row r="39" spans="1:26" x14ac:dyDescent="0.35">
      <c r="A39" s="13">
        <v>38</v>
      </c>
      <c r="B39" s="13" t="s">
        <v>16</v>
      </c>
      <c r="C39" s="13" t="s">
        <v>23</v>
      </c>
      <c r="D39" s="13" t="s">
        <v>31</v>
      </c>
      <c r="E39" s="13" t="s">
        <v>33</v>
      </c>
      <c r="F39" s="13" t="s">
        <v>39</v>
      </c>
      <c r="G39" s="13">
        <v>25</v>
      </c>
      <c r="H39" s="13">
        <v>370</v>
      </c>
      <c r="I39" s="14" t="s">
        <v>43</v>
      </c>
      <c r="J39" s="15">
        <f t="shared" si="3"/>
        <v>9250</v>
      </c>
      <c r="K39" s="13" t="s">
        <v>45</v>
      </c>
      <c r="L39" s="13">
        <v>4.5</v>
      </c>
      <c r="M39" s="13" t="s">
        <v>51</v>
      </c>
      <c r="P39" s="8" t="str">
        <f t="shared" si="1"/>
        <v>Normal</v>
      </c>
      <c r="V39" s="8" t="str">
        <v>Bob</v>
      </c>
      <c r="W39" s="8" t="str">
        <f t="shared" si="4"/>
        <v>Regular Discount</v>
      </c>
      <c r="Z39" s="8" t="str" cm="1">
        <f t="array" ref="Z39">_xlfn.SWITCH(E39,"Electronics","Tech","Furniture","Office","Other")</f>
        <v>Tech</v>
      </c>
    </row>
    <row r="40" spans="1:26" x14ac:dyDescent="0.35">
      <c r="A40" s="8">
        <v>39</v>
      </c>
      <c r="B40" s="8" t="s">
        <v>13</v>
      </c>
      <c r="C40" s="8" t="s">
        <v>21</v>
      </c>
      <c r="D40" s="8" t="s">
        <v>27</v>
      </c>
      <c r="E40" s="8" t="s">
        <v>33</v>
      </c>
      <c r="F40" s="8" t="s">
        <v>38</v>
      </c>
      <c r="G40" s="8">
        <v>9</v>
      </c>
      <c r="H40" s="8">
        <v>120</v>
      </c>
      <c r="I40" s="9" t="s">
        <v>44</v>
      </c>
      <c r="J40" s="12">
        <f t="shared" si="3"/>
        <v>1026</v>
      </c>
      <c r="K40" s="8" t="s">
        <v>45</v>
      </c>
      <c r="L40" s="8">
        <v>4.3</v>
      </c>
      <c r="M40" s="8" t="s">
        <v>52</v>
      </c>
      <c r="P40" s="8" t="str">
        <f t="shared" si="1"/>
        <v>Normal</v>
      </c>
      <c r="V40" s="8" t="str">
        <v>Bob</v>
      </c>
      <c r="W40" s="8" t="str">
        <f t="shared" si="4"/>
        <v>Regular Discount</v>
      </c>
      <c r="Z40" s="8" t="str" cm="1">
        <f t="array" ref="Z40">_xlfn.SWITCH(E40,"Electronics","Tech","Furniture","Office","Other")</f>
        <v>Tech</v>
      </c>
    </row>
    <row r="41" spans="1:26" x14ac:dyDescent="0.35">
      <c r="A41" s="8">
        <v>40</v>
      </c>
      <c r="B41" s="8" t="s">
        <v>13</v>
      </c>
      <c r="C41" s="8" t="s">
        <v>20</v>
      </c>
      <c r="D41" s="8" t="s">
        <v>30</v>
      </c>
      <c r="E41" s="8" t="s">
        <v>35</v>
      </c>
      <c r="F41" s="8" t="s">
        <v>40</v>
      </c>
      <c r="G41" s="8">
        <v>30</v>
      </c>
      <c r="H41" s="8">
        <v>120</v>
      </c>
      <c r="I41" s="9" t="s">
        <v>44</v>
      </c>
      <c r="J41" s="12">
        <f t="shared" si="3"/>
        <v>3420</v>
      </c>
      <c r="K41" s="8" t="s">
        <v>46</v>
      </c>
      <c r="L41" s="8">
        <v>3.8</v>
      </c>
      <c r="M41" s="8" t="s">
        <v>50</v>
      </c>
      <c r="P41" s="8" t="str">
        <f t="shared" si="1"/>
        <v>Normal</v>
      </c>
      <c r="V41" s="8" t="str">
        <v>Bob</v>
      </c>
      <c r="W41" s="8" t="str">
        <f t="shared" si="4"/>
        <v>Regular Discount</v>
      </c>
      <c r="Z41" s="8" t="str" cm="1">
        <f t="array" ref="Z41">_xlfn.SWITCH(E41,"Electronics","Tech","Furniture","Office","Other")</f>
        <v>Other</v>
      </c>
    </row>
    <row r="42" spans="1:26" x14ac:dyDescent="0.35">
      <c r="A42" s="8">
        <v>41</v>
      </c>
      <c r="B42" s="8" t="s">
        <v>13</v>
      </c>
      <c r="C42" s="8" t="s">
        <v>21</v>
      </c>
      <c r="D42" s="8" t="s">
        <v>29</v>
      </c>
      <c r="E42" s="8" t="s">
        <v>34</v>
      </c>
      <c r="F42" s="8" t="s">
        <v>39</v>
      </c>
      <c r="G42" s="8">
        <v>28</v>
      </c>
      <c r="H42" s="8">
        <v>300</v>
      </c>
      <c r="I42" s="9" t="s">
        <v>43</v>
      </c>
      <c r="J42" s="12">
        <f t="shared" si="3"/>
        <v>8400</v>
      </c>
      <c r="K42" s="8" t="s">
        <v>45</v>
      </c>
      <c r="L42" s="8">
        <v>4.5999999999999996</v>
      </c>
      <c r="M42" s="8" t="s">
        <v>56</v>
      </c>
      <c r="P42" s="8" t="str">
        <f t="shared" si="1"/>
        <v>Normal</v>
      </c>
      <c r="V42" s="8" t="str">
        <v>Jane</v>
      </c>
      <c r="W42" s="8" t="str">
        <f t="shared" si="4"/>
        <v>Premium Discount</v>
      </c>
      <c r="Z42" s="8" t="str" cm="1">
        <f t="array" ref="Z42">_xlfn.SWITCH(E42,"Electronics","Tech","Furniture","Office","Other")</f>
        <v>Office</v>
      </c>
    </row>
    <row r="43" spans="1:26" x14ac:dyDescent="0.35">
      <c r="A43" s="8">
        <v>42</v>
      </c>
      <c r="B43" s="8" t="s">
        <v>15</v>
      </c>
      <c r="C43" s="8" t="s">
        <v>21</v>
      </c>
      <c r="D43" s="8" t="s">
        <v>32</v>
      </c>
      <c r="E43" s="8" t="s">
        <v>34</v>
      </c>
      <c r="F43" s="8" t="s">
        <v>39</v>
      </c>
      <c r="G43" s="8">
        <v>30</v>
      </c>
      <c r="H43" s="8">
        <v>350</v>
      </c>
      <c r="I43" s="9" t="s">
        <v>44</v>
      </c>
      <c r="J43" s="12">
        <f t="shared" si="3"/>
        <v>9975</v>
      </c>
      <c r="K43" s="8" t="s">
        <v>47</v>
      </c>
      <c r="L43" s="8">
        <v>3.7</v>
      </c>
      <c r="M43" s="8" t="s">
        <v>53</v>
      </c>
      <c r="P43" s="8" t="str">
        <f t="shared" si="1"/>
        <v>Normal</v>
      </c>
      <c r="V43" s="8" t="str">
        <v>Emma</v>
      </c>
      <c r="W43" s="8" t="str">
        <f t="shared" si="4"/>
        <v>Regular Discount</v>
      </c>
      <c r="Z43" s="8" t="str" cm="1">
        <f t="array" ref="Z43">_xlfn.SWITCH(E43,"Electronics","Tech","Furniture","Office","Other")</f>
        <v>Office</v>
      </c>
    </row>
    <row r="44" spans="1:26" x14ac:dyDescent="0.35">
      <c r="A44" s="13">
        <v>43</v>
      </c>
      <c r="B44" s="13" t="s">
        <v>13</v>
      </c>
      <c r="C44" s="13" t="s">
        <v>18</v>
      </c>
      <c r="D44" s="13" t="s">
        <v>31</v>
      </c>
      <c r="E44" s="13" t="s">
        <v>33</v>
      </c>
      <c r="F44" s="13" t="s">
        <v>39</v>
      </c>
      <c r="G44" s="13">
        <v>19</v>
      </c>
      <c r="H44" s="13">
        <v>600</v>
      </c>
      <c r="I44" s="14" t="s">
        <v>44</v>
      </c>
      <c r="J44" s="15">
        <f t="shared" si="3"/>
        <v>10830</v>
      </c>
      <c r="K44" s="13" t="s">
        <v>46</v>
      </c>
      <c r="L44" s="13">
        <v>4.5999999999999996</v>
      </c>
      <c r="M44" s="13" t="s">
        <v>53</v>
      </c>
      <c r="P44" s="8" t="str">
        <f t="shared" si="1"/>
        <v>High</v>
      </c>
      <c r="V44" s="8" t="str">
        <v>David</v>
      </c>
      <c r="W44" s="8" t="str">
        <f t="shared" si="4"/>
        <v>Premium Discount</v>
      </c>
      <c r="Z44" s="8" t="str" cm="1">
        <f t="array" ref="Z44">_xlfn.SWITCH(E44,"Electronics","Tech","Furniture","Office","Other")</f>
        <v>Tech</v>
      </c>
    </row>
    <row r="45" spans="1:26" x14ac:dyDescent="0.35">
      <c r="A45" s="8">
        <v>44</v>
      </c>
      <c r="B45" s="8" t="s">
        <v>14</v>
      </c>
      <c r="C45" s="8" t="s">
        <v>24</v>
      </c>
      <c r="D45" s="8" t="s">
        <v>32</v>
      </c>
      <c r="E45" s="8" t="s">
        <v>34</v>
      </c>
      <c r="F45" s="8" t="s">
        <v>36</v>
      </c>
      <c r="G45" s="8">
        <v>15</v>
      </c>
      <c r="H45" s="8">
        <v>370</v>
      </c>
      <c r="I45" s="9" t="s">
        <v>43</v>
      </c>
      <c r="J45" s="12">
        <f t="shared" si="3"/>
        <v>5550</v>
      </c>
      <c r="K45" s="8" t="s">
        <v>46</v>
      </c>
      <c r="L45" s="8">
        <v>4.8</v>
      </c>
      <c r="M45" s="8" t="s">
        <v>50</v>
      </c>
      <c r="P45" s="8" t="str">
        <f t="shared" si="1"/>
        <v>Normal</v>
      </c>
      <c r="V45" s="8" t="str">
        <v>Carol</v>
      </c>
      <c r="W45" s="8" t="str">
        <f t="shared" si="4"/>
        <v>Premium Discount</v>
      </c>
      <c r="Z45" s="8" t="str" cm="1">
        <f t="array" ref="Z45">_xlfn.SWITCH(E45,"Electronics","Tech","Furniture","Office","Other")</f>
        <v>Office</v>
      </c>
    </row>
    <row r="46" spans="1:26" x14ac:dyDescent="0.35">
      <c r="A46" s="13">
        <v>45</v>
      </c>
      <c r="B46" s="13" t="s">
        <v>14</v>
      </c>
      <c r="C46" s="13" t="s">
        <v>17</v>
      </c>
      <c r="D46" s="13" t="s">
        <v>27</v>
      </c>
      <c r="E46" s="13" t="s">
        <v>33</v>
      </c>
      <c r="F46" s="13" t="s">
        <v>37</v>
      </c>
      <c r="G46" s="13">
        <v>22</v>
      </c>
      <c r="H46" s="13">
        <v>600</v>
      </c>
      <c r="I46" s="14" t="s">
        <v>43</v>
      </c>
      <c r="J46" s="15">
        <f t="shared" si="3"/>
        <v>13200</v>
      </c>
      <c r="K46" s="13" t="s">
        <v>47</v>
      </c>
      <c r="L46" s="13">
        <v>3.6</v>
      </c>
      <c r="M46" s="13" t="s">
        <v>49</v>
      </c>
      <c r="P46" s="8" t="str">
        <f t="shared" si="1"/>
        <v>High</v>
      </c>
      <c r="V46" s="8" t="str">
        <v>Carol</v>
      </c>
      <c r="W46" s="8" t="str">
        <f t="shared" si="4"/>
        <v>Regular Discount</v>
      </c>
      <c r="Z46" s="8" t="str" cm="1">
        <f t="array" ref="Z46">_xlfn.SWITCH(E46,"Electronics","Tech","Furniture","Office","Other")</f>
        <v>Tech</v>
      </c>
    </row>
    <row r="47" spans="1:26" x14ac:dyDescent="0.35">
      <c r="A47" s="13">
        <v>46</v>
      </c>
      <c r="B47" s="13" t="s">
        <v>14</v>
      </c>
      <c r="C47" s="13" t="s">
        <v>21</v>
      </c>
      <c r="D47" s="13" t="s">
        <v>28</v>
      </c>
      <c r="E47" s="13" t="s">
        <v>33</v>
      </c>
      <c r="F47" s="13" t="s">
        <v>37</v>
      </c>
      <c r="G47" s="13">
        <v>24</v>
      </c>
      <c r="H47" s="13">
        <v>800</v>
      </c>
      <c r="I47" s="14" t="s">
        <v>44</v>
      </c>
      <c r="J47" s="15">
        <f t="shared" si="3"/>
        <v>18240</v>
      </c>
      <c r="K47" s="13" t="s">
        <v>46</v>
      </c>
      <c r="L47" s="13">
        <v>4.4000000000000004</v>
      </c>
      <c r="M47" s="13" t="s">
        <v>51</v>
      </c>
      <c r="P47" s="8" t="str">
        <f t="shared" si="1"/>
        <v>High</v>
      </c>
      <c r="V47" s="8" t="str">
        <v>David</v>
      </c>
      <c r="W47" s="8" t="str">
        <f t="shared" si="4"/>
        <v>Regular Discount</v>
      </c>
      <c r="Z47" s="8" t="str" cm="1">
        <f t="array" ref="Z47">_xlfn.SWITCH(E47,"Electronics","Tech","Furniture","Office","Other")</f>
        <v>Tech</v>
      </c>
    </row>
    <row r="48" spans="1:26" x14ac:dyDescent="0.35">
      <c r="A48" s="8">
        <v>47</v>
      </c>
      <c r="B48" s="8" t="s">
        <v>16</v>
      </c>
      <c r="C48" s="8" t="s">
        <v>19</v>
      </c>
      <c r="D48" s="8" t="s">
        <v>32</v>
      </c>
      <c r="E48" s="8" t="s">
        <v>34</v>
      </c>
      <c r="F48" s="8" t="s">
        <v>37</v>
      </c>
      <c r="G48" s="8">
        <v>23</v>
      </c>
      <c r="H48" s="8">
        <v>350</v>
      </c>
      <c r="I48" s="9" t="s">
        <v>44</v>
      </c>
      <c r="J48" s="12">
        <f t="shared" si="3"/>
        <v>7647.5</v>
      </c>
      <c r="K48" s="8" t="s">
        <v>46</v>
      </c>
      <c r="L48" s="8">
        <v>3.6</v>
      </c>
      <c r="M48" s="8" t="s">
        <v>53</v>
      </c>
      <c r="P48" s="8" t="str">
        <f t="shared" si="1"/>
        <v>Normal</v>
      </c>
      <c r="V48" s="8" t="str">
        <v>Ian</v>
      </c>
      <c r="W48" s="8" t="str">
        <f t="shared" si="4"/>
        <v>Regular Discount</v>
      </c>
      <c r="Z48" s="8" t="str" cm="1">
        <f t="array" ref="Z48">_xlfn.SWITCH(E48,"Electronics","Tech","Furniture","Office","Other")</f>
        <v>Office</v>
      </c>
    </row>
    <row r="49" spans="1:26" x14ac:dyDescent="0.35">
      <c r="A49" s="8">
        <v>48</v>
      </c>
      <c r="B49" s="8" t="s">
        <v>14</v>
      </c>
      <c r="C49" s="8" t="s">
        <v>20</v>
      </c>
      <c r="D49" s="8" t="s">
        <v>30</v>
      </c>
      <c r="E49" s="8" t="s">
        <v>35</v>
      </c>
      <c r="F49" s="8" t="s">
        <v>36</v>
      </c>
      <c r="G49" s="8">
        <v>18</v>
      </c>
      <c r="H49" s="8">
        <v>200</v>
      </c>
      <c r="I49" s="9" t="s">
        <v>42</v>
      </c>
      <c r="J49" s="12">
        <f t="shared" si="3"/>
        <v>3240</v>
      </c>
      <c r="K49" s="8" t="s">
        <v>47</v>
      </c>
      <c r="L49" s="8">
        <v>4.7</v>
      </c>
      <c r="M49" s="8" t="s">
        <v>48</v>
      </c>
      <c r="P49" s="8" t="str">
        <f t="shared" si="1"/>
        <v>Normal</v>
      </c>
      <c r="V49" s="8" t="str">
        <v>David</v>
      </c>
      <c r="W49" s="8" t="str">
        <f t="shared" si="4"/>
        <v>Premium Discount</v>
      </c>
      <c r="Z49" s="8" t="str" cm="1">
        <f t="array" ref="Z49">_xlfn.SWITCH(E49,"Electronics","Tech","Furniture","Office","Other")</f>
        <v>Other</v>
      </c>
    </row>
    <row r="50" spans="1:26" x14ac:dyDescent="0.35">
      <c r="A50" s="13">
        <v>49</v>
      </c>
      <c r="B50" s="13" t="s">
        <v>14</v>
      </c>
      <c r="C50" s="13" t="s">
        <v>23</v>
      </c>
      <c r="D50" s="13" t="s">
        <v>30</v>
      </c>
      <c r="E50" s="13" t="s">
        <v>35</v>
      </c>
      <c r="F50" s="13" t="s">
        <v>38</v>
      </c>
      <c r="G50" s="13">
        <v>26</v>
      </c>
      <c r="H50" s="13">
        <v>800</v>
      </c>
      <c r="I50" s="14" t="s">
        <v>44</v>
      </c>
      <c r="J50" s="15">
        <f t="shared" si="3"/>
        <v>19760</v>
      </c>
      <c r="K50" s="13" t="s">
        <v>45</v>
      </c>
      <c r="L50" s="13">
        <v>4</v>
      </c>
      <c r="M50" s="13" t="s">
        <v>50</v>
      </c>
      <c r="P50" s="8" t="str">
        <f t="shared" si="1"/>
        <v>High</v>
      </c>
      <c r="V50" s="8" t="str">
        <v>Grace</v>
      </c>
      <c r="W50" s="8" t="str">
        <f t="shared" si="4"/>
        <v>Regular Discount</v>
      </c>
      <c r="Z50" s="8" t="str" cm="1">
        <f t="array" ref="Z50">_xlfn.SWITCH(E50,"Electronics","Tech","Furniture","Office","Other")</f>
        <v>Other</v>
      </c>
    </row>
    <row r="51" spans="1:26" x14ac:dyDescent="0.35">
      <c r="A51" s="8">
        <v>50</v>
      </c>
      <c r="B51" s="8" t="s">
        <v>16</v>
      </c>
      <c r="C51" s="8" t="s">
        <v>23</v>
      </c>
      <c r="D51" s="8" t="s">
        <v>27</v>
      </c>
      <c r="E51" s="8" t="s">
        <v>33</v>
      </c>
      <c r="F51" s="8" t="s">
        <v>39</v>
      </c>
      <c r="G51" s="8">
        <v>17</v>
      </c>
      <c r="H51" s="8">
        <v>300</v>
      </c>
      <c r="I51" s="9" t="s">
        <v>42</v>
      </c>
      <c r="J51" s="12">
        <f t="shared" si="3"/>
        <v>4590</v>
      </c>
      <c r="K51" s="8" t="s">
        <v>47</v>
      </c>
      <c r="L51" s="8">
        <v>4.2</v>
      </c>
      <c r="M51" s="8" t="s">
        <v>52</v>
      </c>
      <c r="P51" s="8" t="str">
        <f t="shared" si="1"/>
        <v>Normal</v>
      </c>
      <c r="V51" s="8" t="str">
        <v>Carol</v>
      </c>
      <c r="W51" s="8" t="str">
        <f t="shared" si="4"/>
        <v>Regular Discount</v>
      </c>
      <c r="Z51" s="8" t="str" cm="1">
        <f t="array" ref="Z51">_xlfn.SWITCH(E51,"Electronics","Tech","Furniture","Office","Other")</f>
        <v>Tech</v>
      </c>
    </row>
  </sheetData>
  <scenarios current="1" show="1">
    <scenario name="5%" locked="1" count="1" user="pc" comment="Created by pc on 02.11.2025">
      <inputCells r="I2" val="0.05"/>
    </scenario>
    <scenario name="15%" locked="1" count="1" user="pc" comment="Created by pc on 02.11.2025">
      <inputCells r="I2" val="0.15" numFmtId="9"/>
    </scenario>
  </scenarios>
  <phoneticPr fontId="2" type="noConversion"/>
  <conditionalFormatting sqref="A2:M51">
    <cfRule type="expression" dxfId="0" priority="1">
      <formula>$J2&gt;AVERAGE($J2:$J51)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61D6-6D02-4FBB-A1DA-E6380F85DAD6}">
  <dimension ref="A3:C18"/>
  <sheetViews>
    <sheetView topLeftCell="A7" workbookViewId="0">
      <selection activeCell="B6" sqref="B6"/>
    </sheetView>
  </sheetViews>
  <sheetFormatPr defaultRowHeight="14.5" x14ac:dyDescent="0.35"/>
  <cols>
    <col min="1" max="1" width="10.7265625" bestFit="1" customWidth="1"/>
    <col min="2" max="2" width="14.36328125" bestFit="1" customWidth="1"/>
    <col min="3" max="3" width="21.81640625" bestFit="1" customWidth="1"/>
    <col min="4" max="4" width="14.36328125" bestFit="1" customWidth="1"/>
    <col min="5" max="5" width="21.81640625" bestFit="1" customWidth="1"/>
    <col min="6" max="6" width="14.36328125" bestFit="1" customWidth="1"/>
    <col min="7" max="7" width="21.81640625" bestFit="1" customWidth="1"/>
    <col min="8" max="8" width="19.1796875" bestFit="1" customWidth="1"/>
    <col min="9" max="9" width="26.6328125" bestFit="1" customWidth="1"/>
    <col min="10" max="10" width="7.54296875" bestFit="1" customWidth="1"/>
    <col min="11" max="11" width="5.81640625" bestFit="1" customWidth="1"/>
    <col min="12" max="12" width="5.7265625" bestFit="1" customWidth="1"/>
    <col min="13" max="13" width="10.7265625" bestFit="1" customWidth="1"/>
    <col min="14" max="14" width="9.81640625" bestFit="1" customWidth="1"/>
    <col min="15" max="15" width="8.6328125" bestFit="1" customWidth="1"/>
    <col min="16" max="16" width="9.90625" bestFit="1" customWidth="1"/>
    <col min="17" max="17" width="10.7265625" bestFit="1" customWidth="1"/>
  </cols>
  <sheetData>
    <row r="3" spans="1:3" x14ac:dyDescent="0.35">
      <c r="B3" t="s">
        <v>77</v>
      </c>
      <c r="C3" t="s">
        <v>78</v>
      </c>
    </row>
    <row r="4" spans="1:3" x14ac:dyDescent="0.35">
      <c r="A4" s="4" t="s">
        <v>33</v>
      </c>
      <c r="B4" s="5"/>
      <c r="C4" s="5"/>
    </row>
    <row r="5" spans="1:3" x14ac:dyDescent="0.35">
      <c r="A5" s="6" t="s">
        <v>14</v>
      </c>
      <c r="B5" s="5">
        <v>63440</v>
      </c>
      <c r="C5" s="5">
        <v>607230</v>
      </c>
    </row>
    <row r="6" spans="1:3" x14ac:dyDescent="0.35">
      <c r="A6" s="6" t="s">
        <v>15</v>
      </c>
      <c r="B6" s="5">
        <v>38554</v>
      </c>
      <c r="C6" s="5">
        <v>271700</v>
      </c>
    </row>
    <row r="7" spans="1:3" x14ac:dyDescent="0.35">
      <c r="A7" s="6" t="s">
        <v>13</v>
      </c>
      <c r="B7" s="5">
        <v>63618.5</v>
      </c>
      <c r="C7" s="5">
        <v>790510</v>
      </c>
    </row>
    <row r="8" spans="1:3" x14ac:dyDescent="0.35">
      <c r="A8" s="6" t="s">
        <v>16</v>
      </c>
      <c r="B8" s="5">
        <v>17260</v>
      </c>
      <c r="C8" s="5">
        <v>52200</v>
      </c>
    </row>
    <row r="9" spans="1:3" x14ac:dyDescent="0.35">
      <c r="A9" s="4" t="s">
        <v>34</v>
      </c>
      <c r="B9" s="5"/>
      <c r="C9" s="5"/>
    </row>
    <row r="10" spans="1:3" x14ac:dyDescent="0.35">
      <c r="A10" s="6" t="s">
        <v>14</v>
      </c>
      <c r="B10" s="5">
        <v>28750</v>
      </c>
      <c r="C10" s="5">
        <v>68500</v>
      </c>
    </row>
    <row r="11" spans="1:3" x14ac:dyDescent="0.35">
      <c r="A11" s="6" t="s">
        <v>15</v>
      </c>
      <c r="B11" s="5">
        <v>27825</v>
      </c>
      <c r="C11" s="5">
        <v>61200</v>
      </c>
    </row>
    <row r="12" spans="1:3" x14ac:dyDescent="0.35">
      <c r="A12" s="6" t="s">
        <v>13</v>
      </c>
      <c r="B12" s="5">
        <v>21700</v>
      </c>
      <c r="C12" s="5">
        <v>68000</v>
      </c>
    </row>
    <row r="13" spans="1:3" x14ac:dyDescent="0.35">
      <c r="A13" s="6" t="s">
        <v>16</v>
      </c>
      <c r="B13" s="5">
        <v>25127.5</v>
      </c>
      <c r="C13" s="5">
        <v>86640</v>
      </c>
    </row>
    <row r="14" spans="1:3" x14ac:dyDescent="0.35">
      <c r="A14" s="4" t="s">
        <v>35</v>
      </c>
      <c r="B14" s="5"/>
      <c r="C14" s="5"/>
    </row>
    <row r="15" spans="1:3" x14ac:dyDescent="0.35">
      <c r="A15" s="6" t="s">
        <v>14</v>
      </c>
      <c r="B15" s="5">
        <v>35300</v>
      </c>
      <c r="C15" s="5">
        <v>202860</v>
      </c>
    </row>
    <row r="16" spans="1:3" x14ac:dyDescent="0.35">
      <c r="A16" s="6" t="s">
        <v>15</v>
      </c>
      <c r="B16" s="5">
        <v>22840</v>
      </c>
      <c r="C16" s="5">
        <v>67620</v>
      </c>
    </row>
    <row r="17" spans="1:3" x14ac:dyDescent="0.35">
      <c r="A17" s="6" t="s">
        <v>13</v>
      </c>
      <c r="B17" s="5">
        <v>3420</v>
      </c>
      <c r="C17" s="5">
        <v>3600</v>
      </c>
    </row>
    <row r="18" spans="1:3" x14ac:dyDescent="0.35">
      <c r="A18" s="4" t="s">
        <v>76</v>
      </c>
      <c r="B18" s="5">
        <v>347835</v>
      </c>
      <c r="C18" s="5">
        <v>18541040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9840-09E6-4062-81A5-04F87651F48C}">
  <dimension ref="A3:B11"/>
  <sheetViews>
    <sheetView workbookViewId="0">
      <selection activeCell="B4" sqref="B4"/>
    </sheetView>
  </sheetViews>
  <sheetFormatPr defaultRowHeight="14.5" x14ac:dyDescent="0.35"/>
  <cols>
    <col min="1" max="1" width="14.6328125" bestFit="1" customWidth="1"/>
    <col min="2" max="2" width="14.36328125" bestFit="1" customWidth="1"/>
  </cols>
  <sheetData>
    <row r="3" spans="1:2" x14ac:dyDescent="0.35">
      <c r="A3" s="3" t="s">
        <v>75</v>
      </c>
      <c r="B3" t="s">
        <v>77</v>
      </c>
    </row>
    <row r="4" spans="1:2" x14ac:dyDescent="0.35">
      <c r="A4" s="4" t="s">
        <v>29</v>
      </c>
      <c r="B4" s="5">
        <v>40850</v>
      </c>
    </row>
    <row r="5" spans="1:2" x14ac:dyDescent="0.35">
      <c r="A5" s="4" t="s">
        <v>32</v>
      </c>
      <c r="B5" s="5">
        <v>62552.5</v>
      </c>
    </row>
    <row r="6" spans="1:2" x14ac:dyDescent="0.35">
      <c r="A6" s="4" t="s">
        <v>28</v>
      </c>
      <c r="B6" s="5">
        <v>48936.5</v>
      </c>
    </row>
    <row r="7" spans="1:2" x14ac:dyDescent="0.35">
      <c r="A7" s="4" t="s">
        <v>27</v>
      </c>
      <c r="B7" s="5">
        <v>69586</v>
      </c>
    </row>
    <row r="8" spans="1:2" x14ac:dyDescent="0.35">
      <c r="A8" s="4" t="s">
        <v>30</v>
      </c>
      <c r="B8" s="5">
        <v>61560</v>
      </c>
    </row>
    <row r="9" spans="1:2" x14ac:dyDescent="0.35">
      <c r="A9" s="4" t="s">
        <v>31</v>
      </c>
      <c r="B9" s="5">
        <v>64350</v>
      </c>
    </row>
    <row r="10" spans="1:2" x14ac:dyDescent="0.35">
      <c r="A10" s="4" t="s">
        <v>79</v>
      </c>
      <c r="B10" s="5">
        <v>113286.5</v>
      </c>
    </row>
    <row r="11" spans="1:2" x14ac:dyDescent="0.35">
      <c r="A11" s="4" t="s">
        <v>76</v>
      </c>
      <c r="B11" s="5">
        <v>461121.5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DATA</vt:lpstr>
      <vt:lpstr>TASK 13</vt:lpstr>
      <vt:lpstr>TASK 14</vt:lpstr>
      <vt:lpstr>Category</vt:lpstr>
      <vt:lpstr>Customer_Segment</vt:lpstr>
      <vt:lpstr>Discount</vt:lpstr>
      <vt:lpstr>ID</vt:lpstr>
      <vt:lpstr>Month</vt:lpstr>
      <vt:lpstr>Product</vt:lpstr>
      <vt:lpstr>Rating</vt:lpstr>
      <vt:lpstr>Region</vt:lpstr>
      <vt:lpstr>Remarks</vt:lpstr>
      <vt:lpstr>Revenue</vt:lpstr>
      <vt:lpstr>SalesData</vt:lpstr>
      <vt:lpstr>Salesperson</vt:lpstr>
      <vt:lpstr>Unit_Price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2025-11-05T01:49:52Z</dcterms:modified>
</cp:coreProperties>
</file>