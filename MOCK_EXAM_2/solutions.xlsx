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XAMS\MOCK_EXAM_2\"/>
    </mc:Choice>
  </mc:AlternateContent>
  <xr:revisionPtr revIDLastSave="0" documentId="13_ncr:1_{2733154B-D434-45E2-9581-6443C88D0F8C}" xr6:coauthVersionLast="47" xr6:coauthVersionMax="47" xr10:uidLastSave="{00000000-0000-0000-0000-000000000000}"/>
  <bookViews>
    <workbookView xWindow="-110" yWindow="-110" windowWidth="19420" windowHeight="10420" tabRatio="214" xr2:uid="{00000000-000D-0000-FFFF-FFFF00000000}"/>
  </bookViews>
  <sheets>
    <sheet name="1-10" sheetId="4" r:id="rId1"/>
    <sheet name="11-30" sheetId="3" r:id="rId2"/>
  </sheets>
  <definedNames>
    <definedName name="Category">#REF!</definedName>
    <definedName name="Customer_Segment">#REF!</definedName>
    <definedName name="Discount">#REF!</definedName>
    <definedName name="ID">#REF!</definedName>
    <definedName name="Month">#REF!</definedName>
    <definedName name="Product">#REF!</definedName>
    <definedName name="Rating">#REF!</definedName>
    <definedName name="Region">#REF!</definedName>
    <definedName name="Remarks">#REF!</definedName>
    <definedName name="Revenue">#REF!</definedName>
    <definedName name="SalesData">#REF!</definedName>
    <definedName name="Salesperson">#REF!</definedName>
    <definedName name="Unit_Price">#REF!</definedName>
    <definedName name="Units_So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1" i="3" l="1"/>
  <c r="W51" i="3"/>
  <c r="N51" i="3" a="1"/>
  <c r="N51" i="3"/>
  <c r="AA50" i="3"/>
  <c r="W50" i="3"/>
  <c r="N50" i="3" a="1"/>
  <c r="N50" i="3"/>
  <c r="AA49" i="3"/>
  <c r="W49" i="3"/>
  <c r="N49" i="3" a="1"/>
  <c r="N49" i="3"/>
  <c r="AA48" i="3"/>
  <c r="W48" i="3"/>
  <c r="N48" i="3" a="1"/>
  <c r="N48" i="3"/>
  <c r="AA47" i="3"/>
  <c r="W47" i="3"/>
  <c r="N47" i="3" a="1"/>
  <c r="N47" i="3"/>
  <c r="AA46" i="3"/>
  <c r="W46" i="3"/>
  <c r="N46" i="3" a="1"/>
  <c r="N46" i="3"/>
  <c r="AA45" i="3"/>
  <c r="W45" i="3"/>
  <c r="N45" i="3" a="1"/>
  <c r="N45" i="3"/>
  <c r="AA44" i="3"/>
  <c r="W44" i="3"/>
  <c r="N44" i="3" a="1"/>
  <c r="N44" i="3"/>
  <c r="AA43" i="3"/>
  <c r="W43" i="3"/>
  <c r="N43" i="3" a="1"/>
  <c r="N43" i="3"/>
  <c r="AA42" i="3"/>
  <c r="W42" i="3"/>
  <c r="N42" i="3" a="1"/>
  <c r="N42" i="3"/>
  <c r="AA41" i="3"/>
  <c r="W41" i="3"/>
  <c r="N41" i="3" a="1"/>
  <c r="N41" i="3"/>
  <c r="AA40" i="3"/>
  <c r="W40" i="3"/>
  <c r="N40" i="3" a="1"/>
  <c r="N40" i="3"/>
  <c r="AA39" i="3"/>
  <c r="W39" i="3"/>
  <c r="N39" i="3" a="1"/>
  <c r="N39" i="3"/>
  <c r="AA38" i="3"/>
  <c r="W38" i="3"/>
  <c r="N38" i="3" a="1"/>
  <c r="N38" i="3"/>
  <c r="AA37" i="3"/>
  <c r="W37" i="3"/>
  <c r="N37" i="3" a="1"/>
  <c r="N37" i="3"/>
  <c r="AA36" i="3"/>
  <c r="W36" i="3"/>
  <c r="N36" i="3" a="1"/>
  <c r="N36" i="3"/>
  <c r="AA35" i="3"/>
  <c r="W35" i="3"/>
  <c r="N35" i="3" a="1"/>
  <c r="N35" i="3"/>
  <c r="AA34" i="3"/>
  <c r="W34" i="3"/>
  <c r="N34" i="3" a="1"/>
  <c r="N34" i="3"/>
  <c r="AA33" i="3"/>
  <c r="W33" i="3"/>
  <c r="N33" i="3" a="1"/>
  <c r="N33" i="3"/>
  <c r="AA32" i="3"/>
  <c r="W32" i="3"/>
  <c r="N32" i="3" a="1"/>
  <c r="N32" i="3"/>
  <c r="AA31" i="3"/>
  <c r="W31" i="3"/>
  <c r="N31" i="3" a="1"/>
  <c r="N31" i="3"/>
  <c r="AA30" i="3"/>
  <c r="W30" i="3"/>
  <c r="N30" i="3" a="1"/>
  <c r="N30" i="3"/>
  <c r="AA29" i="3"/>
  <c r="W29" i="3"/>
  <c r="N29" i="3" a="1"/>
  <c r="N29" i="3"/>
  <c r="AA28" i="3"/>
  <c r="W28" i="3"/>
  <c r="N28" i="3" a="1"/>
  <c r="N28" i="3"/>
  <c r="AA27" i="3"/>
  <c r="W27" i="3"/>
  <c r="N27" i="3" a="1"/>
  <c r="N27" i="3"/>
  <c r="AA26" i="3"/>
  <c r="W26" i="3"/>
  <c r="N26" i="3" a="1"/>
  <c r="N26" i="3"/>
  <c r="AA25" i="3"/>
  <c r="W25" i="3"/>
  <c r="N25" i="3" a="1"/>
  <c r="N25" i="3"/>
  <c r="AA24" i="3"/>
  <c r="W24" i="3"/>
  <c r="N24" i="3" a="1"/>
  <c r="N24" i="3"/>
  <c r="AA23" i="3"/>
  <c r="W23" i="3"/>
  <c r="N23" i="3" a="1"/>
  <c r="N23" i="3"/>
  <c r="AA22" i="3"/>
  <c r="W22" i="3"/>
  <c r="N22" i="3" a="1"/>
  <c r="N22" i="3"/>
  <c r="AA21" i="3"/>
  <c r="W21" i="3"/>
  <c r="N21" i="3" a="1"/>
  <c r="N21" i="3"/>
  <c r="AA20" i="3"/>
  <c r="W20" i="3"/>
  <c r="N20" i="3" a="1"/>
  <c r="N20" i="3"/>
  <c r="AA19" i="3"/>
  <c r="W19" i="3"/>
  <c r="N19" i="3" a="1"/>
  <c r="N19" i="3"/>
  <c r="AA18" i="3"/>
  <c r="W18" i="3"/>
  <c r="N18" i="3" a="1"/>
  <c r="N18" i="3"/>
  <c r="AA17" i="3"/>
  <c r="W17" i="3"/>
  <c r="N17" i="3" a="1"/>
  <c r="N17" i="3"/>
  <c r="AA16" i="3"/>
  <c r="W16" i="3"/>
  <c r="N16" i="3" a="1"/>
  <c r="N16" i="3"/>
  <c r="AA15" i="3"/>
  <c r="W15" i="3"/>
  <c r="N15" i="3" a="1"/>
  <c r="N15" i="3"/>
  <c r="AA14" i="3"/>
  <c r="W14" i="3"/>
  <c r="N14" i="3" a="1"/>
  <c r="N14" i="3"/>
  <c r="AA13" i="3"/>
  <c r="W13" i="3"/>
  <c r="N13" i="3" a="1"/>
  <c r="N13" i="3"/>
  <c r="AA12" i="3"/>
  <c r="W12" i="3"/>
  <c r="N12" i="3" a="1"/>
  <c r="N12" i="3"/>
  <c r="AA11" i="3"/>
  <c r="W11" i="3"/>
  <c r="N11" i="3" a="1"/>
  <c r="N11" i="3"/>
  <c r="AA10" i="3"/>
  <c r="W10" i="3"/>
  <c r="N10" i="3" a="1"/>
  <c r="N10" i="3"/>
  <c r="AA9" i="3"/>
  <c r="W9" i="3"/>
  <c r="N9" i="3" a="1"/>
  <c r="N9" i="3"/>
  <c r="AA8" i="3"/>
  <c r="W8" i="3"/>
  <c r="N8" i="3" a="1"/>
  <c r="N8" i="3"/>
  <c r="AA7" i="3"/>
  <c r="W7" i="3"/>
  <c r="N7" i="3" a="1"/>
  <c r="N7" i="3"/>
  <c r="AA6" i="3"/>
  <c r="W6" i="3"/>
  <c r="N6" i="3" a="1"/>
  <c r="N6" i="3"/>
  <c r="AA5" i="3"/>
  <c r="W5" i="3"/>
  <c r="N5" i="3" a="1"/>
  <c r="N5" i="3"/>
  <c r="AA4" i="3"/>
  <c r="W4" i="3"/>
  <c r="N4" i="3" a="1"/>
  <c r="N4" i="3"/>
  <c r="AA3" i="3"/>
  <c r="W3" i="3"/>
  <c r="N3" i="3" a="1"/>
  <c r="N3" i="3"/>
  <c r="AB2" i="3"/>
  <c r="AA2" i="3"/>
  <c r="Z2" i="3"/>
  <c r="Y2" i="3"/>
  <c r="X2" i="3"/>
  <c r="W2" i="3"/>
  <c r="V2" i="3"/>
  <c r="U2" i="3"/>
  <c r="T2" i="3"/>
  <c r="S2" i="3"/>
  <c r="R2" i="3" a="1"/>
  <c r="R2" i="3" s="1"/>
  <c r="Q2" i="3"/>
  <c r="P2" i="3"/>
  <c r="O2" i="3"/>
  <c r="N2" i="3" a="1"/>
  <c r="N2" i="3" s="1"/>
  <c r="M2" i="3"/>
  <c r="L2" i="3"/>
  <c r="K2" i="3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S2" i="4"/>
  <c r="R2" i="4"/>
  <c r="Q2" i="4"/>
  <c r="P2" i="4" a="1"/>
  <c r="P2" i="4" s="1"/>
  <c r="O2" i="4"/>
  <c r="N2" i="4"/>
  <c r="M2" i="4"/>
  <c r="L2" i="4"/>
  <c r="K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<sst xmlns="http://schemas.openxmlformats.org/spreadsheetml/2006/main" count="646" uniqueCount="115">
  <si>
    <t>Region</t>
  </si>
  <si>
    <t>Product</t>
  </si>
  <si>
    <t>Month</t>
  </si>
  <si>
    <t>Units_Sold</t>
  </si>
  <si>
    <t>Revenue</t>
  </si>
  <si>
    <t>Customer_Segment</t>
  </si>
  <si>
    <t>Rating</t>
  </si>
  <si>
    <t>South</t>
  </si>
  <si>
    <t>East</t>
  </si>
  <si>
    <t>North</t>
  </si>
  <si>
    <t>West</t>
  </si>
  <si>
    <t>Monitor</t>
  </si>
  <si>
    <t>Laptop</t>
  </si>
  <si>
    <t>Printer</t>
  </si>
  <si>
    <t>Tablet</t>
  </si>
  <si>
    <t>May</t>
  </si>
  <si>
    <t>Corporate</t>
  </si>
  <si>
    <t>Employee</t>
  </si>
  <si>
    <t>Department</t>
  </si>
  <si>
    <t>Alice Brown</t>
  </si>
  <si>
    <t>Sales</t>
  </si>
  <si>
    <t>January</t>
  </si>
  <si>
    <t>Mark Green</t>
  </si>
  <si>
    <t>Consumer</t>
  </si>
  <si>
    <t>John Smith</t>
  </si>
  <si>
    <t>HR</t>
  </si>
  <si>
    <t>Headphones</t>
  </si>
  <si>
    <t>Home Office</t>
  </si>
  <si>
    <t>February</t>
  </si>
  <si>
    <t>Mary Jones</t>
  </si>
  <si>
    <t>IT</t>
  </si>
  <si>
    <t>March</t>
  </si>
  <si>
    <t>Tom White</t>
  </si>
  <si>
    <t>Finance</t>
  </si>
  <si>
    <t>Emily Clark</t>
  </si>
  <si>
    <t>April</t>
  </si>
  <si>
    <t>Daniel Lewis</t>
  </si>
  <si>
    <t>Laura Scott</t>
  </si>
  <si>
    <t>Kevin Turner</t>
  </si>
  <si>
    <t>Rachel Adams</t>
  </si>
  <si>
    <t>Chris Evans</t>
  </si>
  <si>
    <t>June</t>
  </si>
  <si>
    <t>Sarah Lee</t>
  </si>
  <si>
    <t>Paul Walker</t>
  </si>
  <si>
    <t>July</t>
  </si>
  <si>
    <t>Nancy Hill</t>
  </si>
  <si>
    <t>Adam King</t>
  </si>
  <si>
    <t>Olivia Reed</t>
  </si>
  <si>
    <t>August</t>
  </si>
  <si>
    <t>Ethan Hall</t>
  </si>
  <si>
    <t>Megan Ross</t>
  </si>
  <si>
    <t>Jason Fox</t>
  </si>
  <si>
    <t>September</t>
  </si>
  <si>
    <t>Linda Gray</t>
  </si>
  <si>
    <t>Peter Wood</t>
  </si>
  <si>
    <t>Julia Price</t>
  </si>
  <si>
    <t>October</t>
  </si>
  <si>
    <t>Brian Bell</t>
  </si>
  <si>
    <t>Chloe Ward</t>
  </si>
  <si>
    <t>Alex Young</t>
  </si>
  <si>
    <t>November</t>
  </si>
  <si>
    <t>Sophie Cook</t>
  </si>
  <si>
    <t>George Reed</t>
  </si>
  <si>
    <t>Victoria Cox</t>
  </si>
  <si>
    <t>Henry Ross</t>
  </si>
  <si>
    <t>December</t>
  </si>
  <si>
    <t>Emma Stone</t>
  </si>
  <si>
    <t>Michael Ford</t>
  </si>
  <si>
    <t>Natalie Cole</t>
  </si>
  <si>
    <t>Ben Adams</t>
  </si>
  <si>
    <t>Carla James</t>
  </si>
  <si>
    <t>Oliver Scott</t>
  </si>
  <si>
    <t>Grace Hill</t>
  </si>
  <si>
    <t>Samuel Reed</t>
  </si>
  <si>
    <t>Ella Turner</t>
  </si>
  <si>
    <t>Robert King</t>
  </si>
  <si>
    <t>Hannah Lee</t>
  </si>
  <si>
    <t>Jake Brown</t>
  </si>
  <si>
    <t>Lily Evans</t>
  </si>
  <si>
    <t>Daniel Price</t>
  </si>
  <si>
    <t>Mia Walker</t>
  </si>
  <si>
    <t>Noah Scott</t>
  </si>
  <si>
    <t>Ava Gray</t>
  </si>
  <si>
    <t>Jack Ward</t>
  </si>
  <si>
    <t>Lily Parker</t>
  </si>
  <si>
    <t>Oscar Hill</t>
  </si>
  <si>
    <t>Zoe King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</si>
  <si>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</si>
  <si>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</si>
  <si>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</si>
  <si>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</si>
  <si>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</si>
  <si>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</si>
  <si>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</si>
  <si>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</si>
  <si>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</si>
  <si>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</si>
  <si>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</si>
  <si>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</si>
  <si>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</si>
  <si>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</si>
  <si>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</si>
  <si>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</si>
  <si>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</si>
  <si>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</si>
  <si>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TASK 19</t>
  </si>
  <si>
    <t>TASK 20</t>
  </si>
  <si>
    <t>TASK 21</t>
  </si>
  <si>
    <t>TASK 22</t>
  </si>
  <si>
    <t>TASK 23</t>
  </si>
  <si>
    <t>TASK 24</t>
  </si>
  <si>
    <t>TASK 25</t>
  </si>
  <si>
    <t>TASK 26</t>
  </si>
  <si>
    <t>TASK 29</t>
  </si>
  <si>
    <t>TASK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</si>
</sst>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 &quot;₼&quot;_-;\-* #\ &quot;₼&quot;_-;_-* &quot;-&quot;\ &quot;₼&quot;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1"/>
      <color theme="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2" borderId="0" xfId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4" fillId="2" borderId="1" xfId="1" applyBorder="1" applyAlignment="1">
      <alignment horizontal="center" vertical="center"/>
    </xf>
  </cellXfs>
  <cellStyles count="2">
    <cellStyle name="Accent2" xfId="1" builtinId="33"/>
    <cellStyle name="Normal" xfId="0" builtinId="0"/>
  </cellStyles>
  <dxfs count="25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* #\ &quot;₼&quot;_-;\-* #\ &quot;₼&quot;_-;_-* &quot;-&quot;\ &quot;₼&quot;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* #\ &quot;₼&quot;_-;\-* #\ &quot;₼&quot;_-;_-* &quot;-&quot;\ &quot;₼&quot;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color theme="8" tint="0.39994506668294322"/>
      </font>
      <fill>
        <patternFill>
          <bgColor theme="7" tint="-0.24994659260841701"/>
        </patternFill>
      </fill>
    </dxf>
    <dxf>
      <font>
        <color theme="8" tint="0.59996337778862885"/>
      </font>
      <fill>
        <patternFill>
          <bgColor theme="7" tint="-0.24994659260841701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230CC-BC21-4767-91A6-2878EB04D5B3}" name="main2" displayName="main2" ref="A1:I51" totalsRowShown="0" headerRowDxfId="1" dataDxfId="0">
  <autoFilter ref="A1:I51" xr:uid="{5EE0E04D-1348-478E-9593-9567B3568179}"/>
  <tableColumns count="9">
    <tableColumn id="1" xr3:uid="{A3F65D7E-AB58-4767-8725-A9DCCFE33927}" name="Employee" dataDxfId="10"/>
    <tableColumn id="2" xr3:uid="{1234F176-9B68-4D80-B265-E73060005CB7}" name="Department" dataDxfId="9"/>
    <tableColumn id="3" xr3:uid="{18E55770-3C08-46E4-B09C-38CAF7092A18}" name="Region" dataDxfId="8"/>
    <tableColumn id="4" xr3:uid="{4C490E94-A3E7-4DC2-AB21-34F9D2DD8541}" name="Product" dataDxfId="7"/>
    <tableColumn id="5" xr3:uid="{0E06C833-CECB-454C-A408-F1AA06C10E64}" name="Units_Sold" dataDxfId="6"/>
    <tableColumn id="6" xr3:uid="{71EB0C3D-2B52-47D0-913E-2BA6B9A5EDBF}" name="Revenue" dataDxfId="5"/>
    <tableColumn id="7" xr3:uid="{CCAA3FB7-0B66-46A7-9CDF-2DBB83E87849}" name="Customer_Segment" dataDxfId="4"/>
    <tableColumn id="8" xr3:uid="{2223743E-04D2-43B1-9ECE-61ECA76C30B4}" name="Month" dataDxfId="3"/>
    <tableColumn id="9" xr3:uid="{5C26985A-4C5A-4ADF-9413-3BADCCF0A920}" name="Rating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0E04D-1348-478E-9593-9567B3568179}" name="main" displayName="main" ref="A1:I51" totalsRowShown="0" headerRowDxfId="21" dataDxfId="20">
  <autoFilter ref="A1:I51" xr:uid="{5EE0E04D-1348-478E-9593-9567B3568179}"/>
  <tableColumns count="9">
    <tableColumn id="1" xr3:uid="{B93602CD-51C8-4957-AF07-DA2FF1E3768A}" name="Employee" dataDxfId="19"/>
    <tableColumn id="2" xr3:uid="{F3F7DE36-6DFC-4168-AE3E-7366186097AA}" name="Department" dataDxfId="18"/>
    <tableColumn id="3" xr3:uid="{5F7E22E0-300A-4AA4-BAF4-40E0E1ECAACB}" name="Region" dataDxfId="17"/>
    <tableColumn id="4" xr3:uid="{71D0F31E-456B-4FD0-8C91-09FBB2AFE837}" name="Product" dataDxfId="16"/>
    <tableColumn id="5" xr3:uid="{D8473E7E-D01F-4F66-BC43-8596D37ECB76}" name="Units_Sold" dataDxfId="15"/>
    <tableColumn id="6" xr3:uid="{60A5802E-0DB2-4ED2-850E-ACE66A2AFF16}" name="Revenue" dataDxfId="14"/>
    <tableColumn id="7" xr3:uid="{D38B3C2C-EA8D-49C2-A94A-8768BD726BEC}" name="Customer_Segment" dataDxfId="13"/>
    <tableColumn id="8" xr3:uid="{194B5DA1-194A-4FB1-B4CE-24C967F611CF}" name="Month" dataDxfId="12"/>
    <tableColumn id="9" xr3:uid="{BE0FC8E2-8613-464A-A308-EF6966F7BCC3}" name="Rating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9148-7F7B-41A0-82C4-2D1A27600CB9}">
  <dimension ref="A1:T51"/>
  <sheetViews>
    <sheetView showGridLines="0" tabSelected="1" topLeftCell="A37" zoomScale="55" zoomScaleNormal="55" workbookViewId="0"/>
  </sheetViews>
  <sheetFormatPr defaultColWidth="9.1796875" defaultRowHeight="14.5"/>
  <cols>
    <col min="1" max="1" width="17.453125" style="2" bestFit="1" customWidth="1"/>
    <col min="2" max="2" width="19.26953125" style="2" bestFit="1" customWidth="1"/>
    <col min="3" max="3" width="15" style="2" bestFit="1" customWidth="1"/>
    <col min="4" max="4" width="15.453125" style="2" bestFit="1" customWidth="1"/>
    <col min="5" max="5" width="18.08984375" style="2" bestFit="1" customWidth="1"/>
    <col min="6" max="6" width="16.453125" style="2" bestFit="1" customWidth="1"/>
    <col min="7" max="7" width="25.7265625" style="2" bestFit="1" customWidth="1"/>
    <col min="8" max="9" width="14.6328125" style="2" bestFit="1" customWidth="1"/>
    <col min="10" max="10" width="9.1796875" style="2"/>
    <col min="11" max="14" width="6.7265625" style="2" bestFit="1" customWidth="1"/>
    <col min="15" max="15" width="9.1796875" style="2" bestFit="1" customWidth="1"/>
    <col min="16" max="16" width="14" style="2" bestFit="1" customWidth="1"/>
    <col min="17" max="17" width="15.81640625" style="2" bestFit="1" customWidth="1"/>
    <col min="18" max="18" width="6.7265625" style="2" bestFit="1" customWidth="1"/>
    <col min="19" max="19" width="9.1796875" style="2" bestFit="1" customWidth="1"/>
    <col min="20" max="20" width="14.6328125" style="2" bestFit="1" customWidth="1"/>
    <col min="21" max="16384" width="9.1796875" style="2"/>
  </cols>
  <sheetData>
    <row r="1" spans="1:20">
      <c r="A1" s="1" t="s">
        <v>17</v>
      </c>
      <c r="B1" s="1" t="s">
        <v>18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6</v>
      </c>
      <c r="K1" s="8" t="s">
        <v>87</v>
      </c>
      <c r="L1" s="8" t="s">
        <v>88</v>
      </c>
      <c r="M1" s="8" t="s">
        <v>89</v>
      </c>
      <c r="N1" s="8" t="s">
        <v>90</v>
      </c>
      <c r="O1" s="8" t="s">
        <v>91</v>
      </c>
      <c r="P1" s="8" t="s">
        <v>92</v>
      </c>
      <c r="Q1" s="8" t="s">
        <v>93</v>
      </c>
      <c r="R1" s="8" t="s">
        <v>94</v>
      </c>
      <c r="S1" s="8" t="s">
        <v>95</v>
      </c>
      <c r="T1" s="8" t="s">
        <v>96</v>
      </c>
    </row>
    <row r="2" spans="1:20">
      <c r="A2" s="3" t="s">
        <v>19</v>
      </c>
      <c r="B2" s="3" t="s">
        <v>20</v>
      </c>
      <c r="C2" s="3" t="s">
        <v>8</v>
      </c>
      <c r="D2" s="3" t="s">
        <v>12</v>
      </c>
      <c r="E2" s="3">
        <v>12</v>
      </c>
      <c r="F2" s="5">
        <v>9600</v>
      </c>
      <c r="G2" s="3" t="s">
        <v>16</v>
      </c>
      <c r="H2" s="3" t="s">
        <v>21</v>
      </c>
      <c r="I2" s="3">
        <v>4</v>
      </c>
      <c r="K2" s="6" t="str">
        <f>IF(VLOOKUP(A3,main2[[Employee]:[Revenue]],6,FALSE) &gt; 4000,"YES","NO")</f>
        <v>YES</v>
      </c>
      <c r="L2" s="6" t="str">
        <f>PROPER(VLOOKUP(A5,main2[[Employee]:[Region]],3,FALSE))</f>
        <v>South</v>
      </c>
      <c r="M2" s="6" t="str">
        <f>IF(AND(VLOOKUP(A15,main2[],5,FALSE)&gt;10,(VLOOKUP(A15,main2[],9,FALSE)=5)),"Bonus","No Bonus")</f>
        <v>Bonus</v>
      </c>
      <c r="N2" s="6">
        <f>COUNTIFS(main2[Department],"Sales",main2[Product],"Monitor",main2[Region],"South")</f>
        <v>1</v>
      </c>
      <c r="O2" s="7">
        <f>SUMIFS(main2[Revenue],main2[Region],"East",main2[Customer_Segment],"Corporate")</f>
        <v>26650</v>
      </c>
      <c r="P2" s="6" t="str" cm="1">
        <f t="array" ref="P2:P51">PROPER(CLEAN(TRIM(main2[Employee])))</f>
        <v>Alice Brown</v>
      </c>
      <c r="Q2" s="6" t="str">
        <f>IF(VLOOKUP(A7,main2[],7,FALSE)="Corporate","Corporate Client","Other Client")</f>
        <v>Corporate Client</v>
      </c>
      <c r="R2" s="6">
        <f>COUNTIFS(main2[Department],"IT",main2[Product],"Laptop",main2[Rating],"&gt;=4")</f>
        <v>5</v>
      </c>
      <c r="S2" s="7">
        <f>SUMIF(main2[Department],"Finance",main2[Revenue])</f>
        <v>37750</v>
      </c>
      <c r="T2" s="6" t="str">
        <f>IF(OR(main2[[#This Row],[Rating]]=5,E2&gt;15),"High Performer","Regular.")</f>
        <v>Regular.</v>
      </c>
    </row>
    <row r="3" spans="1:20">
      <c r="A3" s="3" t="s">
        <v>22</v>
      </c>
      <c r="B3" s="3" t="s">
        <v>20</v>
      </c>
      <c r="C3" s="3" t="s">
        <v>10</v>
      </c>
      <c r="D3" s="3" t="s">
        <v>14</v>
      </c>
      <c r="E3" s="3">
        <v>9</v>
      </c>
      <c r="F3" s="5">
        <v>4050</v>
      </c>
      <c r="G3" s="3" t="s">
        <v>23</v>
      </c>
      <c r="H3" s="3" t="s">
        <v>21</v>
      </c>
      <c r="I3" s="3">
        <v>5</v>
      </c>
      <c r="P3" s="6" t="str">
        <v>Mark Green</v>
      </c>
      <c r="T3" s="6" t="str">
        <f>IF(OR(main2[[#This Row],[Rating]]=5,E3&gt;15),"High Performer","Regular.")</f>
        <v>High Performer</v>
      </c>
    </row>
    <row r="4" spans="1:20">
      <c r="A4" s="3" t="s">
        <v>24</v>
      </c>
      <c r="B4" s="3" t="s">
        <v>25</v>
      </c>
      <c r="C4" s="3" t="s">
        <v>9</v>
      </c>
      <c r="D4" s="3" t="s">
        <v>26</v>
      </c>
      <c r="E4" s="3">
        <v>17</v>
      </c>
      <c r="F4" s="5">
        <v>2550</v>
      </c>
      <c r="G4" s="3" t="s">
        <v>27</v>
      </c>
      <c r="H4" s="3" t="s">
        <v>28</v>
      </c>
      <c r="I4" s="3">
        <v>3</v>
      </c>
      <c r="P4" s="6" t="str">
        <v>John Smith</v>
      </c>
      <c r="T4" s="6" t="str">
        <f>IF(OR(main2[[#This Row],[Rating]]=5,E4&gt;15),"High Performer","Regular.")</f>
        <v>High Performer</v>
      </c>
    </row>
    <row r="5" spans="1:20">
      <c r="A5" s="3" t="s">
        <v>29</v>
      </c>
      <c r="B5" s="3" t="s">
        <v>30</v>
      </c>
      <c r="C5" s="3" t="s">
        <v>7</v>
      </c>
      <c r="D5" s="3" t="s">
        <v>11</v>
      </c>
      <c r="E5" s="3">
        <v>5</v>
      </c>
      <c r="F5" s="5">
        <v>1750</v>
      </c>
      <c r="G5" s="3" t="s">
        <v>16</v>
      </c>
      <c r="H5" s="3" t="s">
        <v>31</v>
      </c>
      <c r="I5" s="3">
        <v>4</v>
      </c>
      <c r="P5" s="6" t="str">
        <v>Mary Jones</v>
      </c>
      <c r="T5" s="6" t="str">
        <f>IF(OR(main2[[#This Row],[Rating]]=5,E5&gt;15),"High Performer","Regular.")</f>
        <v>Regular.</v>
      </c>
    </row>
    <row r="6" spans="1:20">
      <c r="A6" s="3" t="s">
        <v>32</v>
      </c>
      <c r="B6" s="3" t="s">
        <v>33</v>
      </c>
      <c r="C6" s="3" t="s">
        <v>8</v>
      </c>
      <c r="D6" s="3" t="s">
        <v>13</v>
      </c>
      <c r="E6" s="3">
        <v>4</v>
      </c>
      <c r="F6" s="5">
        <v>1200</v>
      </c>
      <c r="G6" s="3" t="s">
        <v>23</v>
      </c>
      <c r="H6" s="3" t="s">
        <v>31</v>
      </c>
      <c r="I6" s="3">
        <v>3</v>
      </c>
      <c r="P6" s="6" t="str">
        <v>Tom White</v>
      </c>
      <c r="T6" s="6" t="str">
        <f>IF(OR(main2[[#This Row],[Rating]]=5,E6&gt;15),"High Performer","Regular.")</f>
        <v>Regular.</v>
      </c>
    </row>
    <row r="7" spans="1:20">
      <c r="A7" s="3" t="s">
        <v>34</v>
      </c>
      <c r="B7" s="3" t="s">
        <v>30</v>
      </c>
      <c r="C7" s="3" t="s">
        <v>9</v>
      </c>
      <c r="D7" s="3" t="s">
        <v>12</v>
      </c>
      <c r="E7" s="3">
        <v>8</v>
      </c>
      <c r="F7" s="5">
        <v>7200</v>
      </c>
      <c r="G7" s="3" t="s">
        <v>16</v>
      </c>
      <c r="H7" s="3" t="s">
        <v>35</v>
      </c>
      <c r="I7" s="3">
        <v>5</v>
      </c>
      <c r="P7" s="6" t="str">
        <v>Emily Clark</v>
      </c>
      <c r="T7" s="6" t="str">
        <f>IF(OR(main2[[#This Row],[Rating]]=5,E7&gt;15),"High Performer","Regular.")</f>
        <v>High Performer</v>
      </c>
    </row>
    <row r="8" spans="1:20">
      <c r="A8" s="3" t="s">
        <v>36</v>
      </c>
      <c r="B8" s="3" t="s">
        <v>20</v>
      </c>
      <c r="C8" s="3" t="s">
        <v>7</v>
      </c>
      <c r="D8" s="3" t="s">
        <v>14</v>
      </c>
      <c r="E8" s="3">
        <v>14</v>
      </c>
      <c r="F8" s="5">
        <v>6300</v>
      </c>
      <c r="G8" s="3" t="s">
        <v>23</v>
      </c>
      <c r="H8" s="3" t="s">
        <v>35</v>
      </c>
      <c r="I8" s="3">
        <v>4</v>
      </c>
      <c r="N8" s="4"/>
      <c r="P8" s="6" t="str">
        <v>Daniel Lewis</v>
      </c>
      <c r="T8" s="6" t="str">
        <f>IF(OR(main2[[#This Row],[Rating]]=5,E8&gt;15),"High Performer","Regular.")</f>
        <v>Regular.</v>
      </c>
    </row>
    <row r="9" spans="1:20">
      <c r="A9" s="3" t="s">
        <v>37</v>
      </c>
      <c r="B9" s="3" t="s">
        <v>25</v>
      </c>
      <c r="C9" s="3" t="s">
        <v>8</v>
      </c>
      <c r="D9" s="3" t="s">
        <v>11</v>
      </c>
      <c r="E9" s="3">
        <v>6</v>
      </c>
      <c r="F9" s="5">
        <v>2100</v>
      </c>
      <c r="G9" s="3" t="s">
        <v>27</v>
      </c>
      <c r="H9" s="3" t="s">
        <v>15</v>
      </c>
      <c r="I9" s="3">
        <v>3</v>
      </c>
      <c r="P9" s="6" t="str">
        <v>Laura Scott</v>
      </c>
      <c r="T9" s="6" t="str">
        <f>IF(OR(main2[[#This Row],[Rating]]=5,E9&gt;15),"High Performer","Regular.")</f>
        <v>Regular.</v>
      </c>
    </row>
    <row r="10" spans="1:20">
      <c r="A10" s="3" t="s">
        <v>38</v>
      </c>
      <c r="B10" s="3" t="s">
        <v>33</v>
      </c>
      <c r="C10" s="3" t="s">
        <v>10</v>
      </c>
      <c r="D10" s="3" t="s">
        <v>12</v>
      </c>
      <c r="E10" s="3">
        <v>9</v>
      </c>
      <c r="F10" s="5">
        <v>6750</v>
      </c>
      <c r="G10" s="3" t="s">
        <v>16</v>
      </c>
      <c r="H10" s="3" t="s">
        <v>15</v>
      </c>
      <c r="I10" s="3">
        <v>4</v>
      </c>
      <c r="P10" s="6" t="str">
        <v>Kevin Turner</v>
      </c>
      <c r="T10" s="6" t="str">
        <f>IF(OR(main2[[#This Row],[Rating]]=5,E10&gt;15),"High Performer","Regular.")</f>
        <v>Regular.</v>
      </c>
    </row>
    <row r="11" spans="1:20">
      <c r="A11" s="3" t="s">
        <v>39</v>
      </c>
      <c r="B11" s="3" t="s">
        <v>20</v>
      </c>
      <c r="C11" s="3" t="s">
        <v>9</v>
      </c>
      <c r="D11" s="3" t="s">
        <v>13</v>
      </c>
      <c r="E11" s="3">
        <v>7</v>
      </c>
      <c r="F11" s="5">
        <v>2450</v>
      </c>
      <c r="G11" s="3" t="s">
        <v>23</v>
      </c>
      <c r="H11" s="3" t="s">
        <v>15</v>
      </c>
      <c r="I11" s="3">
        <v>5</v>
      </c>
      <c r="P11" s="6" t="str">
        <v>Rachel Adams</v>
      </c>
      <c r="T11" s="6" t="str">
        <f>IF(OR(main2[[#This Row],[Rating]]=5,E11&gt;15),"High Performer","Regular.")</f>
        <v>High Performer</v>
      </c>
    </row>
    <row r="12" spans="1:20">
      <c r="A12" s="3" t="s">
        <v>40</v>
      </c>
      <c r="B12" s="3" t="s">
        <v>30</v>
      </c>
      <c r="C12" s="3" t="s">
        <v>8</v>
      </c>
      <c r="D12" s="3" t="s">
        <v>26</v>
      </c>
      <c r="E12" s="3">
        <v>11</v>
      </c>
      <c r="F12" s="5">
        <v>1650</v>
      </c>
      <c r="G12" s="3" t="s">
        <v>27</v>
      </c>
      <c r="H12" s="3" t="s">
        <v>41</v>
      </c>
      <c r="I12" s="3">
        <v>3</v>
      </c>
      <c r="P12" s="6" t="str">
        <v>Chris Evans</v>
      </c>
      <c r="T12" s="6" t="str">
        <f>IF(OR(main2[[#This Row],[Rating]]=5,E12&gt;15),"High Performer","Regular.")</f>
        <v>Regular.</v>
      </c>
    </row>
    <row r="13" spans="1:20">
      <c r="A13" s="3" t="s">
        <v>42</v>
      </c>
      <c r="B13" s="3" t="s">
        <v>20</v>
      </c>
      <c r="C13" s="3" t="s">
        <v>7</v>
      </c>
      <c r="D13" s="3" t="s">
        <v>11</v>
      </c>
      <c r="E13" s="3">
        <v>15</v>
      </c>
      <c r="F13" s="5">
        <v>5250</v>
      </c>
      <c r="G13" s="3" t="s">
        <v>16</v>
      </c>
      <c r="H13" s="3" t="s">
        <v>41</v>
      </c>
      <c r="I13" s="3">
        <v>5</v>
      </c>
      <c r="P13" s="6" t="str">
        <v>Sarah Lee</v>
      </c>
      <c r="T13" s="6" t="str">
        <f>IF(OR(main2[[#This Row],[Rating]]=5,E13&gt;15),"High Performer","Regular.")</f>
        <v>High Performer</v>
      </c>
    </row>
    <row r="14" spans="1:20">
      <c r="A14" s="3" t="s">
        <v>43</v>
      </c>
      <c r="B14" s="3" t="s">
        <v>33</v>
      </c>
      <c r="C14" s="3" t="s">
        <v>9</v>
      </c>
      <c r="D14" s="3" t="s">
        <v>14</v>
      </c>
      <c r="E14" s="3">
        <v>10</v>
      </c>
      <c r="F14" s="5">
        <v>4500</v>
      </c>
      <c r="G14" s="3" t="s">
        <v>23</v>
      </c>
      <c r="H14" s="3" t="s">
        <v>44</v>
      </c>
      <c r="I14" s="3">
        <v>4</v>
      </c>
      <c r="P14" s="6" t="str">
        <v>Paul Walker</v>
      </c>
      <c r="T14" s="6" t="str">
        <f>IF(OR(main2[[#This Row],[Rating]]=5,E14&gt;15),"High Performer","Regular.")</f>
        <v>Regular.</v>
      </c>
    </row>
    <row r="15" spans="1:20">
      <c r="A15" s="3" t="s">
        <v>45</v>
      </c>
      <c r="B15" s="3" t="s">
        <v>25</v>
      </c>
      <c r="C15" s="3" t="s">
        <v>7</v>
      </c>
      <c r="D15" s="3" t="s">
        <v>12</v>
      </c>
      <c r="E15" s="3">
        <v>13</v>
      </c>
      <c r="F15" s="5">
        <v>10400</v>
      </c>
      <c r="G15" s="3" t="s">
        <v>16</v>
      </c>
      <c r="H15" s="3" t="s">
        <v>44</v>
      </c>
      <c r="I15" s="3">
        <v>5</v>
      </c>
      <c r="P15" s="6" t="str">
        <v>Nancy Hill</v>
      </c>
      <c r="T15" s="6" t="str">
        <f>IF(OR(main2[[#This Row],[Rating]]=5,E15&gt;15),"High Performer","Regular.")</f>
        <v>High Performer</v>
      </c>
    </row>
    <row r="16" spans="1:20">
      <c r="A16" s="3" t="s">
        <v>46</v>
      </c>
      <c r="B16" s="3" t="s">
        <v>30</v>
      </c>
      <c r="C16" s="3" t="s">
        <v>10</v>
      </c>
      <c r="D16" s="3" t="s">
        <v>13</v>
      </c>
      <c r="E16" s="3">
        <v>8</v>
      </c>
      <c r="F16" s="5">
        <v>2400</v>
      </c>
      <c r="G16" s="3" t="s">
        <v>23</v>
      </c>
      <c r="H16" s="3" t="s">
        <v>44</v>
      </c>
      <c r="I16" s="3">
        <v>3</v>
      </c>
      <c r="P16" s="6" t="str">
        <v>Adam King</v>
      </c>
      <c r="T16" s="6" t="str">
        <f>IF(OR(main2[[#This Row],[Rating]]=5,E16&gt;15),"High Performer","Regular.")</f>
        <v>Regular.</v>
      </c>
    </row>
    <row r="17" spans="1:20">
      <c r="A17" s="3" t="s">
        <v>47</v>
      </c>
      <c r="B17" s="3" t="s">
        <v>20</v>
      </c>
      <c r="C17" s="3" t="s">
        <v>8</v>
      </c>
      <c r="D17" s="3" t="s">
        <v>11</v>
      </c>
      <c r="E17" s="3">
        <v>10</v>
      </c>
      <c r="F17" s="5">
        <v>3500</v>
      </c>
      <c r="G17" s="3" t="s">
        <v>27</v>
      </c>
      <c r="H17" s="3" t="s">
        <v>48</v>
      </c>
      <c r="I17" s="3">
        <v>4</v>
      </c>
      <c r="P17" s="6" t="str">
        <v>Olivia Reed</v>
      </c>
      <c r="T17" s="6" t="str">
        <f>IF(OR(main2[[#This Row],[Rating]]=5,E17&gt;15),"High Performer","Regular.")</f>
        <v>Regular.</v>
      </c>
    </row>
    <row r="18" spans="1:20">
      <c r="A18" s="3" t="s">
        <v>49</v>
      </c>
      <c r="B18" s="3" t="s">
        <v>33</v>
      </c>
      <c r="C18" s="3" t="s">
        <v>10</v>
      </c>
      <c r="D18" s="3" t="s">
        <v>26</v>
      </c>
      <c r="E18" s="3">
        <v>6</v>
      </c>
      <c r="F18" s="5">
        <v>900</v>
      </c>
      <c r="G18" s="3" t="s">
        <v>23</v>
      </c>
      <c r="H18" s="3" t="s">
        <v>48</v>
      </c>
      <c r="I18" s="3">
        <v>3</v>
      </c>
      <c r="P18" s="6" t="str">
        <v>Ethan Hall</v>
      </c>
      <c r="T18" s="6" t="str">
        <f>IF(OR(main2[[#This Row],[Rating]]=5,E18&gt;15),"High Performer","Regular.")</f>
        <v>Regular.</v>
      </c>
    </row>
    <row r="19" spans="1:20">
      <c r="A19" s="3" t="s">
        <v>50</v>
      </c>
      <c r="B19" s="3" t="s">
        <v>30</v>
      </c>
      <c r="C19" s="3" t="s">
        <v>9</v>
      </c>
      <c r="D19" s="3" t="s">
        <v>12</v>
      </c>
      <c r="E19" s="3">
        <v>11</v>
      </c>
      <c r="F19" s="5">
        <v>9900</v>
      </c>
      <c r="G19" s="3" t="s">
        <v>16</v>
      </c>
      <c r="H19" s="3" t="s">
        <v>48</v>
      </c>
      <c r="I19" s="3">
        <v>5</v>
      </c>
      <c r="P19" s="6" t="str">
        <v>Megan Ross</v>
      </c>
      <c r="T19" s="6" t="str">
        <f>IF(OR(main2[[#This Row],[Rating]]=5,E19&gt;15),"High Performer","Regular.")</f>
        <v>High Performer</v>
      </c>
    </row>
    <row r="20" spans="1:20">
      <c r="A20" s="3" t="s">
        <v>51</v>
      </c>
      <c r="B20" s="3" t="s">
        <v>25</v>
      </c>
      <c r="C20" s="3" t="s">
        <v>8</v>
      </c>
      <c r="D20" s="3" t="s">
        <v>14</v>
      </c>
      <c r="E20" s="3">
        <v>9</v>
      </c>
      <c r="F20" s="5">
        <v>4050</v>
      </c>
      <c r="G20" s="3" t="s">
        <v>23</v>
      </c>
      <c r="H20" s="3" t="s">
        <v>52</v>
      </c>
      <c r="I20" s="3">
        <v>4</v>
      </c>
      <c r="P20" s="6" t="str">
        <v>Jason Fox</v>
      </c>
      <c r="T20" s="6" t="str">
        <f>IF(OR(main2[[#This Row],[Rating]]=5,E20&gt;15),"High Performer","Regular.")</f>
        <v>Regular.</v>
      </c>
    </row>
    <row r="21" spans="1:20">
      <c r="A21" s="3" t="s">
        <v>53</v>
      </c>
      <c r="B21" s="3" t="s">
        <v>33</v>
      </c>
      <c r="C21" s="3" t="s">
        <v>7</v>
      </c>
      <c r="D21" s="3" t="s">
        <v>11</v>
      </c>
      <c r="E21" s="3">
        <v>5</v>
      </c>
      <c r="F21" s="5">
        <v>1750</v>
      </c>
      <c r="G21" s="3" t="s">
        <v>16</v>
      </c>
      <c r="H21" s="3" t="s">
        <v>52</v>
      </c>
      <c r="I21" s="3">
        <v>3</v>
      </c>
      <c r="P21" s="6" t="str">
        <v>Linda Gray</v>
      </c>
      <c r="T21" s="6" t="str">
        <f>IF(OR(main2[[#This Row],[Rating]]=5,E21&gt;15),"High Performer","Regular.")</f>
        <v>Regular.</v>
      </c>
    </row>
    <row r="22" spans="1:20">
      <c r="A22" s="3" t="s">
        <v>54</v>
      </c>
      <c r="B22" s="3" t="s">
        <v>20</v>
      </c>
      <c r="C22" s="3" t="s">
        <v>10</v>
      </c>
      <c r="D22" s="3" t="s">
        <v>12</v>
      </c>
      <c r="E22" s="3">
        <v>16</v>
      </c>
      <c r="F22" s="5">
        <v>12800</v>
      </c>
      <c r="G22" s="3" t="s">
        <v>23</v>
      </c>
      <c r="H22" s="3" t="s">
        <v>52</v>
      </c>
      <c r="I22" s="3">
        <v>5</v>
      </c>
      <c r="P22" s="6" t="str">
        <v>Peter Wood</v>
      </c>
      <c r="T22" s="6" t="str">
        <f>IF(OR(main2[[#This Row],[Rating]]=5,E22&gt;15),"High Performer","Regular.")</f>
        <v>High Performer</v>
      </c>
    </row>
    <row r="23" spans="1:20">
      <c r="A23" s="3" t="s">
        <v>55</v>
      </c>
      <c r="B23" s="3" t="s">
        <v>30</v>
      </c>
      <c r="C23" s="3" t="s">
        <v>8</v>
      </c>
      <c r="D23" s="3" t="s">
        <v>13</v>
      </c>
      <c r="E23" s="3">
        <v>7</v>
      </c>
      <c r="F23" s="5">
        <v>2100</v>
      </c>
      <c r="G23" s="3" t="s">
        <v>27</v>
      </c>
      <c r="H23" s="3" t="s">
        <v>56</v>
      </c>
      <c r="I23" s="3">
        <v>4</v>
      </c>
      <c r="P23" s="6" t="str">
        <v>Julia Price</v>
      </c>
      <c r="T23" s="6" t="str">
        <f>IF(OR(main2[[#This Row],[Rating]]=5,E23&gt;15),"High Performer","Regular.")</f>
        <v>Regular.</v>
      </c>
    </row>
    <row r="24" spans="1:20">
      <c r="A24" s="3" t="s">
        <v>57</v>
      </c>
      <c r="B24" s="3" t="s">
        <v>25</v>
      </c>
      <c r="C24" s="3" t="s">
        <v>9</v>
      </c>
      <c r="D24" s="3" t="s">
        <v>26</v>
      </c>
      <c r="E24" s="3">
        <v>10</v>
      </c>
      <c r="F24" s="5">
        <v>1500</v>
      </c>
      <c r="G24" s="3" t="s">
        <v>16</v>
      </c>
      <c r="H24" s="3" t="s">
        <v>56</v>
      </c>
      <c r="I24" s="3">
        <v>3</v>
      </c>
      <c r="P24" s="6" t="str">
        <v>Brian Bell</v>
      </c>
      <c r="T24" s="6" t="str">
        <f>IF(OR(main2[[#This Row],[Rating]]=5,E24&gt;15),"High Performer","Regular.")</f>
        <v>Regular.</v>
      </c>
    </row>
    <row r="25" spans="1:20">
      <c r="A25" s="3" t="s">
        <v>58</v>
      </c>
      <c r="B25" s="3" t="s">
        <v>33</v>
      </c>
      <c r="C25" s="3" t="s">
        <v>10</v>
      </c>
      <c r="D25" s="3" t="s">
        <v>11</v>
      </c>
      <c r="E25" s="3">
        <v>12</v>
      </c>
      <c r="F25" s="5">
        <v>4200</v>
      </c>
      <c r="G25" s="3" t="s">
        <v>23</v>
      </c>
      <c r="H25" s="3" t="s">
        <v>56</v>
      </c>
      <c r="I25" s="3">
        <v>4</v>
      </c>
      <c r="P25" s="6" t="str">
        <v>Chloe Ward</v>
      </c>
      <c r="T25" s="6" t="str">
        <f>IF(OR(main2[[#This Row],[Rating]]=5,E25&gt;15),"High Performer","Regular.")</f>
        <v>Regular.</v>
      </c>
    </row>
    <row r="26" spans="1:20">
      <c r="A26" s="3" t="s">
        <v>59</v>
      </c>
      <c r="B26" s="3" t="s">
        <v>20</v>
      </c>
      <c r="C26" s="3" t="s">
        <v>7</v>
      </c>
      <c r="D26" s="3" t="s">
        <v>14</v>
      </c>
      <c r="E26" s="3">
        <v>15</v>
      </c>
      <c r="F26" s="5">
        <v>6750</v>
      </c>
      <c r="G26" s="3" t="s">
        <v>16</v>
      </c>
      <c r="H26" s="3" t="s">
        <v>60</v>
      </c>
      <c r="I26" s="3">
        <v>5</v>
      </c>
      <c r="P26" s="6" t="str">
        <v>Alex Young</v>
      </c>
      <c r="T26" s="6" t="str">
        <f>IF(OR(main2[[#This Row],[Rating]]=5,E26&gt;15),"High Performer","Regular.")</f>
        <v>High Performer</v>
      </c>
    </row>
    <row r="27" spans="1:20">
      <c r="A27" s="3" t="s">
        <v>61</v>
      </c>
      <c r="B27" s="3" t="s">
        <v>30</v>
      </c>
      <c r="C27" s="3" t="s">
        <v>8</v>
      </c>
      <c r="D27" s="3" t="s">
        <v>12</v>
      </c>
      <c r="E27" s="3">
        <v>9</v>
      </c>
      <c r="F27" s="5">
        <v>8100</v>
      </c>
      <c r="G27" s="3" t="s">
        <v>23</v>
      </c>
      <c r="H27" s="3" t="s">
        <v>60</v>
      </c>
      <c r="I27" s="3">
        <v>4</v>
      </c>
      <c r="P27" s="6" t="str">
        <v>Sophie Cook</v>
      </c>
      <c r="T27" s="6" t="str">
        <f>IF(OR(main2[[#This Row],[Rating]]=5,E27&gt;15),"High Performer","Regular.")</f>
        <v>Regular.</v>
      </c>
    </row>
    <row r="28" spans="1:20">
      <c r="A28" s="3" t="s">
        <v>62</v>
      </c>
      <c r="B28" s="3" t="s">
        <v>25</v>
      </c>
      <c r="C28" s="3" t="s">
        <v>9</v>
      </c>
      <c r="D28" s="3" t="s">
        <v>13</v>
      </c>
      <c r="E28" s="3">
        <v>8</v>
      </c>
      <c r="F28" s="5">
        <v>2400</v>
      </c>
      <c r="G28" s="3" t="s">
        <v>16</v>
      </c>
      <c r="H28" s="3" t="s">
        <v>60</v>
      </c>
      <c r="I28" s="3">
        <v>3</v>
      </c>
      <c r="P28" s="6" t="str">
        <v>George Reed</v>
      </c>
      <c r="T28" s="6" t="str">
        <f>IF(OR(main2[[#This Row],[Rating]]=5,E28&gt;15),"High Performer","Regular.")</f>
        <v>Regular.</v>
      </c>
    </row>
    <row r="29" spans="1:20">
      <c r="A29" s="3" t="s">
        <v>63</v>
      </c>
      <c r="B29" s="3" t="s">
        <v>33</v>
      </c>
      <c r="C29" s="3" t="s">
        <v>8</v>
      </c>
      <c r="D29" s="3" t="s">
        <v>11</v>
      </c>
      <c r="E29" s="3">
        <v>10</v>
      </c>
      <c r="F29" s="5">
        <v>3500</v>
      </c>
      <c r="G29" s="3" t="s">
        <v>27</v>
      </c>
      <c r="H29" s="3" t="s">
        <v>60</v>
      </c>
      <c r="I29" s="3">
        <v>4</v>
      </c>
      <c r="P29" s="6" t="str">
        <v>Victoria Cox</v>
      </c>
      <c r="T29" s="6" t="str">
        <f>IF(OR(main2[[#This Row],[Rating]]=5,E29&gt;15),"High Performer","Regular.")</f>
        <v>Regular.</v>
      </c>
    </row>
    <row r="30" spans="1:20">
      <c r="A30" s="3" t="s">
        <v>64</v>
      </c>
      <c r="B30" s="3" t="s">
        <v>20</v>
      </c>
      <c r="C30" s="3" t="s">
        <v>9</v>
      </c>
      <c r="D30" s="3" t="s">
        <v>12</v>
      </c>
      <c r="E30" s="3">
        <v>18</v>
      </c>
      <c r="F30" s="5">
        <v>16200</v>
      </c>
      <c r="G30" s="3" t="s">
        <v>16</v>
      </c>
      <c r="H30" s="3" t="s">
        <v>65</v>
      </c>
      <c r="I30" s="3">
        <v>5</v>
      </c>
      <c r="P30" s="6" t="str">
        <v>Henry Ross</v>
      </c>
      <c r="T30" s="6" t="str">
        <f>IF(OR(main2[[#This Row],[Rating]]=5,E30&gt;15),"High Performer","Regular.")</f>
        <v>High Performer</v>
      </c>
    </row>
    <row r="31" spans="1:20">
      <c r="A31" s="3" t="s">
        <v>66</v>
      </c>
      <c r="B31" s="3" t="s">
        <v>30</v>
      </c>
      <c r="C31" s="3" t="s">
        <v>7</v>
      </c>
      <c r="D31" s="3" t="s">
        <v>14</v>
      </c>
      <c r="E31" s="3">
        <v>12</v>
      </c>
      <c r="F31" s="5">
        <v>5400</v>
      </c>
      <c r="G31" s="3" t="s">
        <v>23</v>
      </c>
      <c r="H31" s="3" t="s">
        <v>65</v>
      </c>
      <c r="I31" s="3">
        <v>4</v>
      </c>
      <c r="P31" s="6" t="str">
        <v>Emma Stone</v>
      </c>
      <c r="T31" s="6" t="str">
        <f>IF(OR(main2[[#This Row],[Rating]]=5,E31&gt;15),"High Performer","Regular.")</f>
        <v>Regular.</v>
      </c>
    </row>
    <row r="32" spans="1:20">
      <c r="A32" s="3" t="s">
        <v>67</v>
      </c>
      <c r="B32" s="3" t="s">
        <v>33</v>
      </c>
      <c r="C32" s="3" t="s">
        <v>8</v>
      </c>
      <c r="D32" s="3" t="s">
        <v>26</v>
      </c>
      <c r="E32" s="3">
        <v>7</v>
      </c>
      <c r="F32" s="5">
        <v>1050</v>
      </c>
      <c r="G32" s="3" t="s">
        <v>27</v>
      </c>
      <c r="H32" s="3" t="s">
        <v>65</v>
      </c>
      <c r="I32" s="3">
        <v>3</v>
      </c>
      <c r="P32" s="6" t="str">
        <v>Michael Ford</v>
      </c>
      <c r="T32" s="6" t="str">
        <f>IF(OR(main2[[#This Row],[Rating]]=5,E32&gt;15),"High Performer","Regular.")</f>
        <v>Regular.</v>
      </c>
    </row>
    <row r="33" spans="1:20">
      <c r="A33" s="3" t="s">
        <v>68</v>
      </c>
      <c r="B33" s="3" t="s">
        <v>25</v>
      </c>
      <c r="C33" s="3" t="s">
        <v>7</v>
      </c>
      <c r="D33" s="3" t="s">
        <v>11</v>
      </c>
      <c r="E33" s="3">
        <v>9</v>
      </c>
      <c r="F33" s="5">
        <v>3150</v>
      </c>
      <c r="G33" s="3" t="s">
        <v>16</v>
      </c>
      <c r="H33" s="3" t="s">
        <v>65</v>
      </c>
      <c r="I33" s="3">
        <v>4</v>
      </c>
      <c r="P33" s="6" t="str">
        <v>Natalie Cole</v>
      </c>
      <c r="T33" s="6" t="str">
        <f>IF(OR(main2[[#This Row],[Rating]]=5,E33&gt;15),"High Performer","Regular.")</f>
        <v>Regular.</v>
      </c>
    </row>
    <row r="34" spans="1:20">
      <c r="A34" s="3" t="s">
        <v>69</v>
      </c>
      <c r="B34" s="3" t="s">
        <v>20</v>
      </c>
      <c r="C34" s="3" t="s">
        <v>10</v>
      </c>
      <c r="D34" s="3" t="s">
        <v>13</v>
      </c>
      <c r="E34" s="3">
        <v>11</v>
      </c>
      <c r="F34" s="5">
        <v>3300</v>
      </c>
      <c r="G34" s="3" t="s">
        <v>23</v>
      </c>
      <c r="H34" s="3" t="s">
        <v>21</v>
      </c>
      <c r="I34" s="3">
        <v>5</v>
      </c>
      <c r="P34" s="6" t="str">
        <v>Ben Adams</v>
      </c>
      <c r="T34" s="6" t="str">
        <f>IF(OR(main2[[#This Row],[Rating]]=5,E34&gt;15),"High Performer","Regular.")</f>
        <v>High Performer</v>
      </c>
    </row>
    <row r="35" spans="1:20">
      <c r="A35" s="3" t="s">
        <v>70</v>
      </c>
      <c r="B35" s="3" t="s">
        <v>30</v>
      </c>
      <c r="C35" s="3" t="s">
        <v>9</v>
      </c>
      <c r="D35" s="3" t="s">
        <v>12</v>
      </c>
      <c r="E35" s="3">
        <v>10</v>
      </c>
      <c r="F35" s="5">
        <v>9000</v>
      </c>
      <c r="G35" s="3" t="s">
        <v>16</v>
      </c>
      <c r="H35" s="3" t="s">
        <v>28</v>
      </c>
      <c r="I35" s="3">
        <v>4</v>
      </c>
      <c r="P35" s="6" t="str">
        <v>Carla James</v>
      </c>
      <c r="T35" s="6" t="str">
        <f>IF(OR(main2[[#This Row],[Rating]]=5,E35&gt;15),"High Performer","Regular.")</f>
        <v>Regular.</v>
      </c>
    </row>
    <row r="36" spans="1:20">
      <c r="A36" s="3" t="s">
        <v>71</v>
      </c>
      <c r="B36" s="3" t="s">
        <v>33</v>
      </c>
      <c r="C36" s="3" t="s">
        <v>7</v>
      </c>
      <c r="D36" s="3" t="s">
        <v>14</v>
      </c>
      <c r="E36" s="3">
        <v>8</v>
      </c>
      <c r="F36" s="5">
        <v>3600</v>
      </c>
      <c r="G36" s="3" t="s">
        <v>23</v>
      </c>
      <c r="H36" s="3" t="s">
        <v>31</v>
      </c>
      <c r="I36" s="3">
        <v>3</v>
      </c>
      <c r="P36" s="6" t="str">
        <v>Oliver Scott</v>
      </c>
      <c r="T36" s="6" t="str">
        <f>IF(OR(main2[[#This Row],[Rating]]=5,E36&gt;15),"High Performer","Regular.")</f>
        <v>Regular.</v>
      </c>
    </row>
    <row r="37" spans="1:20">
      <c r="A37" s="3" t="s">
        <v>72</v>
      </c>
      <c r="B37" s="3" t="s">
        <v>25</v>
      </c>
      <c r="C37" s="3" t="s">
        <v>10</v>
      </c>
      <c r="D37" s="3" t="s">
        <v>11</v>
      </c>
      <c r="E37" s="3">
        <v>7</v>
      </c>
      <c r="F37" s="5">
        <v>2450</v>
      </c>
      <c r="G37" s="3" t="s">
        <v>16</v>
      </c>
      <c r="H37" s="3" t="s">
        <v>35</v>
      </c>
      <c r="I37" s="3">
        <v>4</v>
      </c>
      <c r="P37" s="6" t="str">
        <v>Grace Hill</v>
      </c>
      <c r="T37" s="6" t="str">
        <f>IF(OR(main2[[#This Row],[Rating]]=5,E37&gt;15),"High Performer","Regular.")</f>
        <v>Regular.</v>
      </c>
    </row>
    <row r="38" spans="1:20">
      <c r="A38" s="3" t="s">
        <v>73</v>
      </c>
      <c r="B38" s="3" t="s">
        <v>20</v>
      </c>
      <c r="C38" s="3" t="s">
        <v>8</v>
      </c>
      <c r="D38" s="3" t="s">
        <v>12</v>
      </c>
      <c r="E38" s="3">
        <v>14</v>
      </c>
      <c r="F38" s="5">
        <v>11200</v>
      </c>
      <c r="G38" s="3" t="s">
        <v>16</v>
      </c>
      <c r="H38" s="3" t="s">
        <v>15</v>
      </c>
      <c r="I38" s="3">
        <v>5</v>
      </c>
      <c r="P38" s="6" t="str">
        <v>Samuel Reed</v>
      </c>
      <c r="T38" s="6" t="str">
        <f>IF(OR(main2[[#This Row],[Rating]]=5,E38&gt;15),"High Performer","Regular.")</f>
        <v>High Performer</v>
      </c>
    </row>
    <row r="39" spans="1:20">
      <c r="A39" s="3" t="s">
        <v>74</v>
      </c>
      <c r="B39" s="3" t="s">
        <v>30</v>
      </c>
      <c r="C39" s="3" t="s">
        <v>9</v>
      </c>
      <c r="D39" s="3" t="s">
        <v>13</v>
      </c>
      <c r="E39" s="3">
        <v>6</v>
      </c>
      <c r="F39" s="5">
        <v>1800</v>
      </c>
      <c r="G39" s="3" t="s">
        <v>27</v>
      </c>
      <c r="H39" s="3" t="s">
        <v>41</v>
      </c>
      <c r="I39" s="3">
        <v>3</v>
      </c>
      <c r="P39" s="6" t="str">
        <v>Ella Turner</v>
      </c>
      <c r="T39" s="6" t="str">
        <f>IF(OR(main2[[#This Row],[Rating]]=5,E39&gt;15),"High Performer","Regular.")</f>
        <v>Regular.</v>
      </c>
    </row>
    <row r="40" spans="1:20">
      <c r="A40" s="3" t="s">
        <v>75</v>
      </c>
      <c r="B40" s="3" t="s">
        <v>33</v>
      </c>
      <c r="C40" s="3" t="s">
        <v>8</v>
      </c>
      <c r="D40" s="3" t="s">
        <v>11</v>
      </c>
      <c r="E40" s="3">
        <v>8</v>
      </c>
      <c r="F40" s="5">
        <v>2800</v>
      </c>
      <c r="G40" s="3" t="s">
        <v>23</v>
      </c>
      <c r="H40" s="3" t="s">
        <v>44</v>
      </c>
      <c r="I40" s="3">
        <v>4</v>
      </c>
      <c r="P40" s="6" t="str">
        <v>Robert King</v>
      </c>
      <c r="T40" s="6" t="str">
        <f>IF(OR(main2[[#This Row],[Rating]]=5,E40&gt;15),"High Performer","Regular.")</f>
        <v>Regular.</v>
      </c>
    </row>
    <row r="41" spans="1:20">
      <c r="A41" s="3" t="s">
        <v>76</v>
      </c>
      <c r="B41" s="3" t="s">
        <v>25</v>
      </c>
      <c r="C41" s="3" t="s">
        <v>7</v>
      </c>
      <c r="D41" s="3" t="s">
        <v>26</v>
      </c>
      <c r="E41" s="3">
        <v>9</v>
      </c>
      <c r="F41" s="5">
        <v>1350</v>
      </c>
      <c r="G41" s="3" t="s">
        <v>16</v>
      </c>
      <c r="H41" s="3" t="s">
        <v>48</v>
      </c>
      <c r="I41" s="3">
        <v>3</v>
      </c>
      <c r="P41" s="6" t="str">
        <v>Hannah Lee</v>
      </c>
      <c r="T41" s="6" t="str">
        <f>IF(OR(main2[[#This Row],[Rating]]=5,E41&gt;15),"High Performer","Regular.")</f>
        <v>Regular.</v>
      </c>
    </row>
    <row r="42" spans="1:20">
      <c r="A42" s="3" t="s">
        <v>77</v>
      </c>
      <c r="B42" s="3" t="s">
        <v>20</v>
      </c>
      <c r="C42" s="3" t="s">
        <v>9</v>
      </c>
      <c r="D42" s="3" t="s">
        <v>12</v>
      </c>
      <c r="E42" s="3">
        <v>13</v>
      </c>
      <c r="F42" s="5">
        <v>11700</v>
      </c>
      <c r="G42" s="3" t="s">
        <v>23</v>
      </c>
      <c r="H42" s="3" t="s">
        <v>52</v>
      </c>
      <c r="I42" s="3">
        <v>5</v>
      </c>
      <c r="P42" s="6" t="str">
        <v>Jake Brown</v>
      </c>
      <c r="T42" s="6" t="str">
        <f>IF(OR(main2[[#This Row],[Rating]]=5,E42&gt;15),"High Performer","Regular.")</f>
        <v>High Performer</v>
      </c>
    </row>
    <row r="43" spans="1:20">
      <c r="A43" s="3" t="s">
        <v>78</v>
      </c>
      <c r="B43" s="3" t="s">
        <v>30</v>
      </c>
      <c r="C43" s="3" t="s">
        <v>8</v>
      </c>
      <c r="D43" s="3" t="s">
        <v>14</v>
      </c>
      <c r="E43" s="3">
        <v>10</v>
      </c>
      <c r="F43" s="5">
        <v>4500</v>
      </c>
      <c r="G43" s="3" t="s">
        <v>16</v>
      </c>
      <c r="H43" s="3" t="s">
        <v>56</v>
      </c>
      <c r="I43" s="3">
        <v>4</v>
      </c>
      <c r="P43" s="6" t="str">
        <v>Lily Evans</v>
      </c>
      <c r="T43" s="6" t="str">
        <f>IF(OR(main2[[#This Row],[Rating]]=5,E43&gt;15),"High Performer","Regular.")</f>
        <v>Regular.</v>
      </c>
    </row>
    <row r="44" spans="1:20">
      <c r="A44" s="3" t="s">
        <v>79</v>
      </c>
      <c r="B44" s="3" t="s">
        <v>33</v>
      </c>
      <c r="C44" s="3" t="s">
        <v>10</v>
      </c>
      <c r="D44" s="3" t="s">
        <v>13</v>
      </c>
      <c r="E44" s="3">
        <v>5</v>
      </c>
      <c r="F44" s="5">
        <v>1500</v>
      </c>
      <c r="G44" s="3" t="s">
        <v>27</v>
      </c>
      <c r="H44" s="3" t="s">
        <v>60</v>
      </c>
      <c r="I44" s="3">
        <v>3</v>
      </c>
      <c r="P44" s="6" t="str">
        <v>Daniel Price</v>
      </c>
      <c r="T44" s="6" t="str">
        <f>IF(OR(main2[[#This Row],[Rating]]=5,E44&gt;15),"High Performer","Regular.")</f>
        <v>Regular.</v>
      </c>
    </row>
    <row r="45" spans="1:20">
      <c r="A45" s="3" t="s">
        <v>80</v>
      </c>
      <c r="B45" s="3" t="s">
        <v>25</v>
      </c>
      <c r="C45" s="3" t="s">
        <v>7</v>
      </c>
      <c r="D45" s="3" t="s">
        <v>12</v>
      </c>
      <c r="E45" s="3">
        <v>12</v>
      </c>
      <c r="F45" s="5">
        <v>9600</v>
      </c>
      <c r="G45" s="3" t="s">
        <v>16</v>
      </c>
      <c r="H45" s="3" t="s">
        <v>65</v>
      </c>
      <c r="I45" s="3">
        <v>4</v>
      </c>
      <c r="P45" s="6" t="str">
        <v>Mia Walker</v>
      </c>
      <c r="T45" s="6" t="str">
        <f>IF(OR(main2[[#This Row],[Rating]]=5,E45&gt;15),"High Performer","Regular.")</f>
        <v>Regular.</v>
      </c>
    </row>
    <row r="46" spans="1:20">
      <c r="A46" s="3" t="s">
        <v>81</v>
      </c>
      <c r="B46" s="3" t="s">
        <v>20</v>
      </c>
      <c r="C46" s="3" t="s">
        <v>9</v>
      </c>
      <c r="D46" s="3" t="s">
        <v>11</v>
      </c>
      <c r="E46" s="3">
        <v>11</v>
      </c>
      <c r="F46" s="5">
        <v>3850</v>
      </c>
      <c r="G46" s="3" t="s">
        <v>23</v>
      </c>
      <c r="H46" s="3" t="s">
        <v>21</v>
      </c>
      <c r="I46" s="3">
        <v>5</v>
      </c>
      <c r="P46" s="6" t="str">
        <v>Noah Scott</v>
      </c>
      <c r="T46" s="6" t="str">
        <f>IF(OR(main2[[#This Row],[Rating]]=5,E46&gt;15),"High Performer","Regular.")</f>
        <v>High Performer</v>
      </c>
    </row>
    <row r="47" spans="1:20">
      <c r="A47" s="3" t="s">
        <v>82</v>
      </c>
      <c r="B47" s="3" t="s">
        <v>30</v>
      </c>
      <c r="C47" s="3" t="s">
        <v>8</v>
      </c>
      <c r="D47" s="3" t="s">
        <v>26</v>
      </c>
      <c r="E47" s="3">
        <v>9</v>
      </c>
      <c r="F47" s="5">
        <v>1350</v>
      </c>
      <c r="G47" s="3" t="s">
        <v>16</v>
      </c>
      <c r="H47" s="3" t="s">
        <v>28</v>
      </c>
      <c r="I47" s="3">
        <v>4</v>
      </c>
      <c r="P47" s="6" t="str">
        <v>Ava Gray</v>
      </c>
      <c r="T47" s="6" t="str">
        <f>IF(OR(main2[[#This Row],[Rating]]=5,E47&gt;15),"High Performer","Regular.")</f>
        <v>Regular.</v>
      </c>
    </row>
    <row r="48" spans="1:20">
      <c r="A48" s="3" t="s">
        <v>83</v>
      </c>
      <c r="B48" s="3" t="s">
        <v>33</v>
      </c>
      <c r="C48" s="3" t="s">
        <v>10</v>
      </c>
      <c r="D48" s="3" t="s">
        <v>12</v>
      </c>
      <c r="E48" s="3">
        <v>8</v>
      </c>
      <c r="F48" s="5">
        <v>6000</v>
      </c>
      <c r="G48" s="3" t="s">
        <v>23</v>
      </c>
      <c r="H48" s="3" t="s">
        <v>31</v>
      </c>
      <c r="I48" s="3">
        <v>3</v>
      </c>
      <c r="P48" s="6" t="str">
        <v>Jack Ward</v>
      </c>
      <c r="T48" s="6" t="str">
        <f>IF(OR(main2[[#This Row],[Rating]]=5,E48&gt;15),"High Performer","Regular.")</f>
        <v>Regular.</v>
      </c>
    </row>
    <row r="49" spans="1:20">
      <c r="A49" s="3" t="s">
        <v>84</v>
      </c>
      <c r="B49" s="3" t="s">
        <v>25</v>
      </c>
      <c r="C49" s="3" t="s">
        <v>7</v>
      </c>
      <c r="D49" s="3" t="s">
        <v>13</v>
      </c>
      <c r="E49" s="3">
        <v>10</v>
      </c>
      <c r="F49" s="5">
        <v>3000</v>
      </c>
      <c r="G49" s="3" t="s">
        <v>16</v>
      </c>
      <c r="H49" s="3" t="s">
        <v>35</v>
      </c>
      <c r="I49" s="3">
        <v>4</v>
      </c>
      <c r="P49" s="6" t="str">
        <v>Lily Parker</v>
      </c>
      <c r="T49" s="6" t="str">
        <f>IF(OR(main2[[#This Row],[Rating]]=5,E49&gt;15),"High Performer","Regular.")</f>
        <v>Regular.</v>
      </c>
    </row>
    <row r="50" spans="1:20">
      <c r="A50" s="3" t="s">
        <v>85</v>
      </c>
      <c r="B50" s="3" t="s">
        <v>20</v>
      </c>
      <c r="C50" s="3" t="s">
        <v>8</v>
      </c>
      <c r="D50" s="3" t="s">
        <v>11</v>
      </c>
      <c r="E50" s="3">
        <v>14</v>
      </c>
      <c r="F50" s="5">
        <v>4900</v>
      </c>
      <c r="G50" s="3" t="s">
        <v>27</v>
      </c>
      <c r="H50" s="3" t="s">
        <v>15</v>
      </c>
      <c r="I50" s="3">
        <v>5</v>
      </c>
      <c r="P50" s="6" t="str">
        <v>Oscar Hill</v>
      </c>
      <c r="T50" s="6" t="str">
        <f>IF(OR(main2[[#This Row],[Rating]]=5,E50&gt;15),"High Performer","Regular.")</f>
        <v>High Performer</v>
      </c>
    </row>
    <row r="51" spans="1:20">
      <c r="A51" s="3" t="s">
        <v>86</v>
      </c>
      <c r="B51" s="3" t="s">
        <v>30</v>
      </c>
      <c r="C51" s="3" t="s">
        <v>9</v>
      </c>
      <c r="D51" s="3" t="s">
        <v>12</v>
      </c>
      <c r="E51" s="3">
        <v>11</v>
      </c>
      <c r="F51" s="5">
        <v>9900</v>
      </c>
      <c r="G51" s="3" t="s">
        <v>16</v>
      </c>
      <c r="H51" s="3" t="s">
        <v>41</v>
      </c>
      <c r="I51" s="3">
        <v>4</v>
      </c>
      <c r="P51" s="6" t="str">
        <v>Zoe King</v>
      </c>
      <c r="T51" s="6" t="str">
        <f>IF(OR(main2[[#This Row],[Rating]]=5,E51&gt;15),"High Performer","Regular.")</f>
        <v>Regular.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C32B-E9F4-41F8-8027-EB11171E971F}">
  <dimension ref="A1:AB51"/>
  <sheetViews>
    <sheetView showGridLines="0" zoomScale="40" zoomScaleNormal="40" workbookViewId="0">
      <selection activeCell="B43" sqref="B43"/>
    </sheetView>
  </sheetViews>
  <sheetFormatPr defaultColWidth="9.1796875" defaultRowHeight="14.5"/>
  <cols>
    <col min="1" max="1" width="21.26953125" style="2" bestFit="1" customWidth="1"/>
    <col min="2" max="2" width="23.26953125" style="2" bestFit="1" customWidth="1"/>
    <col min="3" max="3" width="18.7265625" style="2" bestFit="1" customWidth="1"/>
    <col min="4" max="4" width="19.6328125" style="2" bestFit="1" customWidth="1"/>
    <col min="5" max="5" width="21.90625" style="2" bestFit="1" customWidth="1"/>
    <col min="6" max="6" width="20.54296875" style="2" bestFit="1" customWidth="1"/>
    <col min="7" max="7" width="29.90625" style="2" bestFit="1" customWidth="1"/>
    <col min="8" max="8" width="18.7265625" style="2" bestFit="1" customWidth="1"/>
    <col min="9" max="9" width="18.08984375" style="2" bestFit="1" customWidth="1"/>
    <col min="10" max="10" width="9.1796875" style="2"/>
    <col min="11" max="11" width="8.54296875" style="2" bestFit="1" customWidth="1"/>
    <col min="12" max="12" width="8.26953125" style="2" bestFit="1" customWidth="1"/>
    <col min="13" max="13" width="10.36328125" style="2" bestFit="1" customWidth="1"/>
    <col min="14" max="14" width="8.7265625" style="2" bestFit="1" customWidth="1"/>
    <col min="15" max="15" width="10.36328125" style="2" bestFit="1" customWidth="1"/>
    <col min="16" max="16" width="8.26953125" style="2" bestFit="1" customWidth="1"/>
    <col min="17" max="17" width="9.1796875" style="2" bestFit="1" customWidth="1"/>
    <col min="18" max="18" width="12.1796875" style="2" bestFit="1" customWidth="1"/>
    <col min="19" max="22" width="8.26953125" style="2" bestFit="1" customWidth="1"/>
    <col min="23" max="23" width="9.453125" style="2" bestFit="1" customWidth="1"/>
    <col min="24" max="26" width="8.26953125" style="2" bestFit="1" customWidth="1"/>
    <col min="27" max="27" width="16.453125" style="2" bestFit="1" customWidth="1"/>
    <col min="28" max="28" width="8.26953125" style="2" bestFit="1" customWidth="1"/>
    <col min="29" max="16384" width="9.1796875" style="2"/>
  </cols>
  <sheetData>
    <row r="1" spans="1:28">
      <c r="A1" s="1" t="s">
        <v>17</v>
      </c>
      <c r="B1" s="1" t="s">
        <v>18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6</v>
      </c>
      <c r="K1" s="13" t="s">
        <v>97</v>
      </c>
      <c r="L1" s="13" t="s">
        <v>98</v>
      </c>
      <c r="M1" s="13" t="s">
        <v>99</v>
      </c>
      <c r="N1" s="13" t="s">
        <v>100</v>
      </c>
      <c r="O1" s="13" t="s">
        <v>101</v>
      </c>
      <c r="P1" s="13" t="s">
        <v>102</v>
      </c>
      <c r="Q1" s="13" t="s">
        <v>103</v>
      </c>
      <c r="R1" s="13" t="s">
        <v>104</v>
      </c>
      <c r="S1" s="13" t="s">
        <v>105</v>
      </c>
      <c r="T1" s="13" t="s">
        <v>106</v>
      </c>
      <c r="U1" s="13" t="s">
        <v>107</v>
      </c>
      <c r="V1" s="13" t="s">
        <v>108</v>
      </c>
      <c r="W1" s="13" t="s">
        <v>109</v>
      </c>
      <c r="X1" s="13" t="s">
        <v>110</v>
      </c>
      <c r="Y1" s="13" t="s">
        <v>111</v>
      </c>
      <c r="Z1" s="13" t="s">
        <v>112</v>
      </c>
      <c r="AA1" s="13" t="s">
        <v>113</v>
      </c>
      <c r="AB1" s="13" t="s">
        <v>114</v>
      </c>
    </row>
    <row r="2" spans="1:28">
      <c r="A2" s="3" t="s">
        <v>19</v>
      </c>
      <c r="B2" s="3" t="s">
        <v>20</v>
      </c>
      <c r="C2" s="3" t="s">
        <v>8</v>
      </c>
      <c r="D2" s="3" t="s">
        <v>12</v>
      </c>
      <c r="E2" s="3">
        <v>12</v>
      </c>
      <c r="F2" s="5">
        <v>9600</v>
      </c>
      <c r="G2" s="3" t="s">
        <v>16</v>
      </c>
      <c r="H2" s="3" t="s">
        <v>21</v>
      </c>
      <c r="I2" s="3">
        <v>4</v>
      </c>
      <c r="K2" s="10" t="str">
        <f>IF(VLOOKUP('11-30'!A9,main[],4,FALSE) = "Monitor","Monitor","Not Monitor")</f>
        <v>Monitor</v>
      </c>
      <c r="L2" s="10">
        <f>COUNTIFS(main[Customer_Segment],"Corporate",main[Revenue],"&gt;=8000")</f>
        <v>8</v>
      </c>
      <c r="M2" s="11">
        <f>SUMIFS(main[Revenue],main[Region],"South",main[Product],"Tablet",main[Department],"Sales")</f>
        <v>13050</v>
      </c>
      <c r="N2" s="10" t="str" cm="1">
        <f t="array" ref="N2">_xlfn.IFS(main[[#This Row],[Rating]]=5,"Excellent",main[[#This Row],[Rating]]=4,"Good",TRUE,"Average")</f>
        <v>Good</v>
      </c>
      <c r="O2" s="10" t="str">
        <f>IF(VLOOKUP('11-30'!$A$22,main[],6,FALSE)&gt;=12000,"Target Met","Not")</f>
        <v>Target Met</v>
      </c>
      <c r="P2" s="10">
        <f>COUNTIFS(main[Department],"HR",main[Customer_Segment],"Corporate")</f>
        <v>8</v>
      </c>
      <c r="Q2" s="12">
        <f>SUMIFS(main[Revenue],main[Region],"West",main[Product],"Printer")</f>
        <v>7200</v>
      </c>
      <c r="R2" s="6" t="str" cm="1">
        <f t="array" ref="R2:R51">PROPER(main[Product])</f>
        <v>Laptop</v>
      </c>
      <c r="S2" s="9" t="str">
        <f>IF(VLOOKUP('11-30'!$A$11,main[],8,FALSE)="May","May","Not May")</f>
        <v>May</v>
      </c>
      <c r="T2" s="10">
        <f>COUNTIFS(main[Department],"IT",main[Product],"Laptop",main[Customer_Segment],"Corporate")</f>
        <v>4</v>
      </c>
      <c r="U2" s="10">
        <f>SUMIFS(main[Revenue],main[Region],"North",main[Customer_Segment],"Consumer")</f>
        <v>22500</v>
      </c>
      <c r="V2" s="10" t="str">
        <f>IF(VLOOKUP("Jake Brown",main[],2,FALSE)="Sales","Sales","Not Sales")</f>
        <v>Sales</v>
      </c>
      <c r="W2" s="10" t="str">
        <f>IF(AND(main[[#This Row],[Units_Sold]]&gt;12,main[[#This Row],[Revenue]]&gt;10000),"Top Seller","Regular")</f>
        <v>Regular</v>
      </c>
      <c r="X2" s="10">
        <f>COUNTIFS(main[Department],"Finance",main[Product],"Monitor") + COUNTIFS(main[Department],"Finance",main[Product],"Headphone")</f>
        <v>4</v>
      </c>
      <c r="Y2" s="10">
        <f>SUMIFS(main[Revenue],main[Month],"December",main[Customer_Segment],"Corporate")</f>
        <v>28950</v>
      </c>
      <c r="Z2" s="10" t="str">
        <f>PROPER(CLEAN(TRIM(VLOOKUP("Sophie Cook",main[],4,FALSE))))</f>
        <v>Laptop</v>
      </c>
      <c r="AA2" s="10" t="str">
        <f>IF(OR(main[[#This Row],[Revenue]]&lt;2000,main[[#This Row],[Units_Sold]]&lt;7),"Attention Needed","Not Needed")</f>
        <v>Not Needed</v>
      </c>
      <c r="AB2" s="10">
        <f>COUNTIFS(main[Region],"East",main[Rating],5)</f>
        <v>2</v>
      </c>
    </row>
    <row r="3" spans="1:28">
      <c r="A3" s="3" t="s">
        <v>22</v>
      </c>
      <c r="B3" s="3" t="s">
        <v>20</v>
      </c>
      <c r="C3" s="3" t="s">
        <v>10</v>
      </c>
      <c r="D3" s="3" t="s">
        <v>14</v>
      </c>
      <c r="E3" s="3">
        <v>9</v>
      </c>
      <c r="F3" s="5">
        <v>4050</v>
      </c>
      <c r="G3" s="3" t="s">
        <v>23</v>
      </c>
      <c r="H3" s="3" t="s">
        <v>21</v>
      </c>
      <c r="I3" s="3">
        <v>5</v>
      </c>
      <c r="N3" s="6" t="str" cm="1">
        <f t="array" ref="N3">_xlfn.IFS(main[[#This Row],[Rating]]=5,"Excellent",main[[#This Row],[Rating]]=4,"Good",TRUE,"Average")</f>
        <v>Excellent</v>
      </c>
      <c r="R3" s="6" t="str">
        <v>Tablet</v>
      </c>
      <c r="W3" s="6" t="str">
        <f>IF(AND(main[[#This Row],[Units_Sold]]&gt;12,main[[#This Row],[Revenue]]&gt;10000),"Top Seller","Regular")</f>
        <v>Regular</v>
      </c>
      <c r="AA3" s="6" t="str">
        <f>IF(OR(main[[#This Row],[Revenue]]&lt;2000,main[[#This Row],[Units_Sold]]&lt;7),"Attention Needed","Not Needed")</f>
        <v>Not Needed</v>
      </c>
    </row>
    <row r="4" spans="1:28">
      <c r="A4" s="3" t="s">
        <v>24</v>
      </c>
      <c r="B4" s="3" t="s">
        <v>25</v>
      </c>
      <c r="C4" s="3" t="s">
        <v>9</v>
      </c>
      <c r="D4" s="3" t="s">
        <v>26</v>
      </c>
      <c r="E4" s="3">
        <v>17</v>
      </c>
      <c r="F4" s="5">
        <v>2550</v>
      </c>
      <c r="G4" s="3" t="s">
        <v>27</v>
      </c>
      <c r="H4" s="3" t="s">
        <v>28</v>
      </c>
      <c r="I4" s="3">
        <v>3</v>
      </c>
      <c r="N4" s="6" t="str" cm="1">
        <f t="array" ref="N4">_xlfn.IFS(main[[#This Row],[Rating]]=5,"Excellent",main[[#This Row],[Rating]]=4,"Good",TRUE,"Average")</f>
        <v>Average</v>
      </c>
      <c r="R4" s="6" t="str">
        <v>Headphones</v>
      </c>
      <c r="W4" s="6" t="str">
        <f>IF(AND(main[[#This Row],[Units_Sold]]&gt;12,main[[#This Row],[Revenue]]&gt;10000),"Top Seller","Regular")</f>
        <v>Regular</v>
      </c>
      <c r="AA4" s="6" t="str">
        <f>IF(OR(main[[#This Row],[Revenue]]&lt;2000,main[[#This Row],[Units_Sold]]&lt;7),"Attention Needed","Not Needed")</f>
        <v>Not Needed</v>
      </c>
    </row>
    <row r="5" spans="1:28">
      <c r="A5" s="3" t="s">
        <v>29</v>
      </c>
      <c r="B5" s="3" t="s">
        <v>30</v>
      </c>
      <c r="C5" s="3" t="s">
        <v>7</v>
      </c>
      <c r="D5" s="3" t="s">
        <v>11</v>
      </c>
      <c r="E5" s="3">
        <v>5</v>
      </c>
      <c r="F5" s="5">
        <v>1750</v>
      </c>
      <c r="G5" s="3" t="s">
        <v>16</v>
      </c>
      <c r="H5" s="3" t="s">
        <v>31</v>
      </c>
      <c r="I5" s="3">
        <v>4</v>
      </c>
      <c r="N5" s="6" t="str" cm="1">
        <f t="array" ref="N5">_xlfn.IFS(main[[#This Row],[Rating]]=5,"Excellent",main[[#This Row],[Rating]]=4,"Good",TRUE,"Average")</f>
        <v>Good</v>
      </c>
      <c r="R5" s="6" t="str">
        <v>Monitor</v>
      </c>
      <c r="W5" s="6" t="str">
        <f>IF(AND(main[[#This Row],[Units_Sold]]&gt;12,main[[#This Row],[Revenue]]&gt;10000),"Top Seller","Regular")</f>
        <v>Regular</v>
      </c>
      <c r="AA5" s="6" t="str">
        <f>IF(OR(main[[#This Row],[Revenue]]&lt;2000,main[[#This Row],[Units_Sold]]&lt;7),"Attention Needed","Not Needed")</f>
        <v>Attention Needed</v>
      </c>
    </row>
    <row r="6" spans="1:28">
      <c r="A6" s="3" t="s">
        <v>32</v>
      </c>
      <c r="B6" s="3" t="s">
        <v>33</v>
      </c>
      <c r="C6" s="3" t="s">
        <v>8</v>
      </c>
      <c r="D6" s="3" t="s">
        <v>13</v>
      </c>
      <c r="E6" s="3">
        <v>4</v>
      </c>
      <c r="F6" s="5">
        <v>1200</v>
      </c>
      <c r="G6" s="3" t="s">
        <v>23</v>
      </c>
      <c r="H6" s="3" t="s">
        <v>31</v>
      </c>
      <c r="I6" s="3">
        <v>3</v>
      </c>
      <c r="N6" s="6" t="str" cm="1">
        <f t="array" ref="N6">_xlfn.IFS(main[[#This Row],[Rating]]=5,"Excellent",main[[#This Row],[Rating]]=4,"Good",TRUE,"Average")</f>
        <v>Average</v>
      </c>
      <c r="R6" s="6" t="str">
        <v>Printer</v>
      </c>
      <c r="W6" s="6" t="str">
        <f>IF(AND(main[[#This Row],[Units_Sold]]&gt;12,main[[#This Row],[Revenue]]&gt;10000),"Top Seller","Regular")</f>
        <v>Regular</v>
      </c>
      <c r="AA6" s="6" t="str">
        <f>IF(OR(main[[#This Row],[Revenue]]&lt;2000,main[[#This Row],[Units_Sold]]&lt;7),"Attention Needed","Not Needed")</f>
        <v>Attention Needed</v>
      </c>
    </row>
    <row r="7" spans="1:28">
      <c r="A7" s="3" t="s">
        <v>34</v>
      </c>
      <c r="B7" s="3" t="s">
        <v>30</v>
      </c>
      <c r="C7" s="3" t="s">
        <v>9</v>
      </c>
      <c r="D7" s="3" t="s">
        <v>12</v>
      </c>
      <c r="E7" s="3">
        <v>8</v>
      </c>
      <c r="F7" s="5">
        <v>7200</v>
      </c>
      <c r="G7" s="3" t="s">
        <v>16</v>
      </c>
      <c r="H7" s="3" t="s">
        <v>35</v>
      </c>
      <c r="I7" s="3">
        <v>5</v>
      </c>
      <c r="N7" s="6" t="str" cm="1">
        <f t="array" ref="N7">_xlfn.IFS(main[[#This Row],[Rating]]=5,"Excellent",main[[#This Row],[Rating]]=4,"Good",TRUE,"Average")</f>
        <v>Excellent</v>
      </c>
      <c r="R7" s="6" t="str">
        <v>Laptop</v>
      </c>
      <c r="W7" s="6" t="str">
        <f>IF(AND(main[[#This Row],[Units_Sold]]&gt;12,main[[#This Row],[Revenue]]&gt;10000),"Top Seller","Regular")</f>
        <v>Regular</v>
      </c>
      <c r="AA7" s="6" t="str">
        <f>IF(OR(main[[#This Row],[Revenue]]&lt;2000,main[[#This Row],[Units_Sold]]&lt;7),"Attention Needed","Not Needed")</f>
        <v>Not Needed</v>
      </c>
    </row>
    <row r="8" spans="1:28">
      <c r="A8" s="3" t="s">
        <v>36</v>
      </c>
      <c r="B8" s="3" t="s">
        <v>20</v>
      </c>
      <c r="C8" s="3" t="s">
        <v>7</v>
      </c>
      <c r="D8" s="3" t="s">
        <v>14</v>
      </c>
      <c r="E8" s="3">
        <v>14</v>
      </c>
      <c r="F8" s="5">
        <v>6300</v>
      </c>
      <c r="G8" s="3" t="s">
        <v>23</v>
      </c>
      <c r="H8" s="3" t="s">
        <v>35</v>
      </c>
      <c r="I8" s="3">
        <v>4</v>
      </c>
      <c r="N8" s="6" t="str" cm="1">
        <f t="array" ref="N8">_xlfn.IFS(main[[#This Row],[Rating]]=5,"Excellent",main[[#This Row],[Rating]]=4,"Good",TRUE,"Average")</f>
        <v>Good</v>
      </c>
      <c r="R8" s="6" t="str">
        <v>Tablet</v>
      </c>
      <c r="W8" s="6" t="str">
        <f>IF(AND(main[[#This Row],[Units_Sold]]&gt;12,main[[#This Row],[Revenue]]&gt;10000),"Top Seller","Regular")</f>
        <v>Regular</v>
      </c>
      <c r="AA8" s="6" t="str">
        <f>IF(OR(main[[#This Row],[Revenue]]&lt;2000,main[[#This Row],[Units_Sold]]&lt;7),"Attention Needed","Not Needed")</f>
        <v>Not Needed</v>
      </c>
    </row>
    <row r="9" spans="1:28">
      <c r="A9" s="3" t="s">
        <v>37</v>
      </c>
      <c r="B9" s="3" t="s">
        <v>25</v>
      </c>
      <c r="C9" s="3" t="s">
        <v>8</v>
      </c>
      <c r="D9" s="3" t="s">
        <v>11</v>
      </c>
      <c r="E9" s="3">
        <v>6</v>
      </c>
      <c r="F9" s="5">
        <v>2100</v>
      </c>
      <c r="G9" s="3" t="s">
        <v>27</v>
      </c>
      <c r="H9" s="3" t="s">
        <v>15</v>
      </c>
      <c r="I9" s="3">
        <v>3</v>
      </c>
      <c r="N9" s="6" t="str" cm="1">
        <f t="array" ref="N9">_xlfn.IFS(main[[#This Row],[Rating]]=5,"Excellent",main[[#This Row],[Rating]]=4,"Good",TRUE,"Average")</f>
        <v>Average</v>
      </c>
      <c r="R9" s="6" t="str">
        <v>Monitor</v>
      </c>
      <c r="W9" s="6" t="str">
        <f>IF(AND(main[[#This Row],[Units_Sold]]&gt;12,main[[#This Row],[Revenue]]&gt;10000),"Top Seller","Regular")</f>
        <v>Regular</v>
      </c>
      <c r="AA9" s="6" t="str">
        <f>IF(OR(main[[#This Row],[Revenue]]&lt;2000,main[[#This Row],[Units_Sold]]&lt;7),"Attention Needed","Not Needed")</f>
        <v>Attention Needed</v>
      </c>
    </row>
    <row r="10" spans="1:28">
      <c r="A10" s="3" t="s">
        <v>38</v>
      </c>
      <c r="B10" s="3" t="s">
        <v>33</v>
      </c>
      <c r="C10" s="3" t="s">
        <v>10</v>
      </c>
      <c r="D10" s="3" t="s">
        <v>12</v>
      </c>
      <c r="E10" s="3">
        <v>9</v>
      </c>
      <c r="F10" s="5">
        <v>6750</v>
      </c>
      <c r="G10" s="3" t="s">
        <v>16</v>
      </c>
      <c r="H10" s="3" t="s">
        <v>15</v>
      </c>
      <c r="I10" s="3">
        <v>4</v>
      </c>
      <c r="N10" s="6" t="str" cm="1">
        <f t="array" ref="N10">_xlfn.IFS(main[[#This Row],[Rating]]=5,"Excellent",main[[#This Row],[Rating]]=4,"Good",TRUE,"Average")</f>
        <v>Good</v>
      </c>
      <c r="R10" s="6" t="str">
        <v>Laptop</v>
      </c>
      <c r="W10" s="6" t="str">
        <f>IF(AND(main[[#This Row],[Units_Sold]]&gt;12,main[[#This Row],[Revenue]]&gt;10000),"Top Seller","Regular")</f>
        <v>Regular</v>
      </c>
      <c r="AA10" s="6" t="str">
        <f>IF(OR(main[[#This Row],[Revenue]]&lt;2000,main[[#This Row],[Units_Sold]]&lt;7),"Attention Needed","Not Needed")</f>
        <v>Not Needed</v>
      </c>
    </row>
    <row r="11" spans="1:28">
      <c r="A11" s="3" t="s">
        <v>39</v>
      </c>
      <c r="B11" s="3" t="s">
        <v>20</v>
      </c>
      <c r="C11" s="3" t="s">
        <v>9</v>
      </c>
      <c r="D11" s="3" t="s">
        <v>13</v>
      </c>
      <c r="E11" s="3">
        <v>7</v>
      </c>
      <c r="F11" s="5">
        <v>2450</v>
      </c>
      <c r="G11" s="3" t="s">
        <v>23</v>
      </c>
      <c r="H11" s="3" t="s">
        <v>15</v>
      </c>
      <c r="I11" s="3">
        <v>5</v>
      </c>
      <c r="N11" s="6" t="str" cm="1">
        <f t="array" ref="N11">_xlfn.IFS(main[[#This Row],[Rating]]=5,"Excellent",main[[#This Row],[Rating]]=4,"Good",TRUE,"Average")</f>
        <v>Excellent</v>
      </c>
      <c r="R11" s="6" t="str">
        <v>Printer</v>
      </c>
      <c r="W11" s="6" t="str">
        <f>IF(AND(main[[#This Row],[Units_Sold]]&gt;12,main[[#This Row],[Revenue]]&gt;10000),"Top Seller","Regular")</f>
        <v>Regular</v>
      </c>
      <c r="AA11" s="6" t="str">
        <f>IF(OR(main[[#This Row],[Revenue]]&lt;2000,main[[#This Row],[Units_Sold]]&lt;7),"Attention Needed","Not Needed")</f>
        <v>Not Needed</v>
      </c>
    </row>
    <row r="12" spans="1:28">
      <c r="A12" s="3" t="s">
        <v>40</v>
      </c>
      <c r="B12" s="3" t="s">
        <v>30</v>
      </c>
      <c r="C12" s="3" t="s">
        <v>8</v>
      </c>
      <c r="D12" s="3" t="s">
        <v>26</v>
      </c>
      <c r="E12" s="3">
        <v>11</v>
      </c>
      <c r="F12" s="5">
        <v>1650</v>
      </c>
      <c r="G12" s="3" t="s">
        <v>27</v>
      </c>
      <c r="H12" s="3" t="s">
        <v>41</v>
      </c>
      <c r="I12" s="3">
        <v>3</v>
      </c>
      <c r="N12" s="6" t="str" cm="1">
        <f t="array" ref="N12">_xlfn.IFS(main[[#This Row],[Rating]]=5,"Excellent",main[[#This Row],[Rating]]=4,"Good",TRUE,"Average")</f>
        <v>Average</v>
      </c>
      <c r="R12" s="6" t="str">
        <v>Headphones</v>
      </c>
      <c r="W12" s="6" t="str">
        <f>IF(AND(main[[#This Row],[Units_Sold]]&gt;12,main[[#This Row],[Revenue]]&gt;10000),"Top Seller","Regular")</f>
        <v>Regular</v>
      </c>
      <c r="AA12" s="6" t="str">
        <f>IF(OR(main[[#This Row],[Revenue]]&lt;2000,main[[#This Row],[Units_Sold]]&lt;7),"Attention Needed","Not Needed")</f>
        <v>Attention Needed</v>
      </c>
    </row>
    <row r="13" spans="1:28">
      <c r="A13" s="3" t="s">
        <v>42</v>
      </c>
      <c r="B13" s="3" t="s">
        <v>20</v>
      </c>
      <c r="C13" s="3" t="s">
        <v>7</v>
      </c>
      <c r="D13" s="3" t="s">
        <v>11</v>
      </c>
      <c r="E13" s="3">
        <v>15</v>
      </c>
      <c r="F13" s="5">
        <v>5250</v>
      </c>
      <c r="G13" s="3" t="s">
        <v>16</v>
      </c>
      <c r="H13" s="3" t="s">
        <v>41</v>
      </c>
      <c r="I13" s="3">
        <v>5</v>
      </c>
      <c r="N13" s="6" t="str" cm="1">
        <f t="array" ref="N13">_xlfn.IFS(main[[#This Row],[Rating]]=5,"Excellent",main[[#This Row],[Rating]]=4,"Good",TRUE,"Average")</f>
        <v>Excellent</v>
      </c>
      <c r="R13" s="6" t="str">
        <v>Monitor</v>
      </c>
      <c r="W13" s="6" t="str">
        <f>IF(AND(main[[#This Row],[Units_Sold]]&gt;12,main[[#This Row],[Revenue]]&gt;10000),"Top Seller","Regular")</f>
        <v>Regular</v>
      </c>
      <c r="AA13" s="6" t="str">
        <f>IF(OR(main[[#This Row],[Revenue]]&lt;2000,main[[#This Row],[Units_Sold]]&lt;7),"Attention Needed","Not Needed")</f>
        <v>Not Needed</v>
      </c>
    </row>
    <row r="14" spans="1:28">
      <c r="A14" s="3" t="s">
        <v>43</v>
      </c>
      <c r="B14" s="3" t="s">
        <v>33</v>
      </c>
      <c r="C14" s="3" t="s">
        <v>9</v>
      </c>
      <c r="D14" s="3" t="s">
        <v>14</v>
      </c>
      <c r="E14" s="3">
        <v>10</v>
      </c>
      <c r="F14" s="5">
        <v>4500</v>
      </c>
      <c r="G14" s="3" t="s">
        <v>23</v>
      </c>
      <c r="H14" s="3" t="s">
        <v>44</v>
      </c>
      <c r="I14" s="3">
        <v>4</v>
      </c>
      <c r="N14" s="6" t="str" cm="1">
        <f t="array" ref="N14">_xlfn.IFS(main[[#This Row],[Rating]]=5,"Excellent",main[[#This Row],[Rating]]=4,"Good",TRUE,"Average")</f>
        <v>Good</v>
      </c>
      <c r="R14" s="6" t="str">
        <v>Tablet</v>
      </c>
      <c r="W14" s="6" t="str">
        <f>IF(AND(main[[#This Row],[Units_Sold]]&gt;12,main[[#This Row],[Revenue]]&gt;10000),"Top Seller","Regular")</f>
        <v>Regular</v>
      </c>
      <c r="AA14" s="6" t="str">
        <f>IF(OR(main[[#This Row],[Revenue]]&lt;2000,main[[#This Row],[Units_Sold]]&lt;7),"Attention Needed","Not Needed")</f>
        <v>Not Needed</v>
      </c>
    </row>
    <row r="15" spans="1:28">
      <c r="A15" s="3" t="s">
        <v>45</v>
      </c>
      <c r="B15" s="3" t="s">
        <v>25</v>
      </c>
      <c r="C15" s="3" t="s">
        <v>7</v>
      </c>
      <c r="D15" s="3" t="s">
        <v>12</v>
      </c>
      <c r="E15" s="3">
        <v>13</v>
      </c>
      <c r="F15" s="5">
        <v>10400</v>
      </c>
      <c r="G15" s="3" t="s">
        <v>16</v>
      </c>
      <c r="H15" s="3" t="s">
        <v>44</v>
      </c>
      <c r="I15" s="3">
        <v>5</v>
      </c>
      <c r="N15" s="6" t="str" cm="1">
        <f t="array" ref="N15">_xlfn.IFS(main[[#This Row],[Rating]]=5,"Excellent",main[[#This Row],[Rating]]=4,"Good",TRUE,"Average")</f>
        <v>Excellent</v>
      </c>
      <c r="R15" s="6" t="str">
        <v>Laptop</v>
      </c>
      <c r="W15" s="6" t="str">
        <f>IF(AND(main[[#This Row],[Units_Sold]]&gt;12,main[[#This Row],[Revenue]]&gt;10000),"Top Seller","Regular")</f>
        <v>Top Seller</v>
      </c>
      <c r="AA15" s="6" t="str">
        <f>IF(OR(main[[#This Row],[Revenue]]&lt;2000,main[[#This Row],[Units_Sold]]&lt;7),"Attention Needed","Not Needed")</f>
        <v>Not Needed</v>
      </c>
    </row>
    <row r="16" spans="1:28">
      <c r="A16" s="3" t="s">
        <v>46</v>
      </c>
      <c r="B16" s="3" t="s">
        <v>30</v>
      </c>
      <c r="C16" s="3" t="s">
        <v>10</v>
      </c>
      <c r="D16" s="3" t="s">
        <v>13</v>
      </c>
      <c r="E16" s="3">
        <v>8</v>
      </c>
      <c r="F16" s="5">
        <v>2400</v>
      </c>
      <c r="G16" s="3" t="s">
        <v>23</v>
      </c>
      <c r="H16" s="3" t="s">
        <v>44</v>
      </c>
      <c r="I16" s="3">
        <v>3</v>
      </c>
      <c r="N16" s="6" t="str" cm="1">
        <f t="array" ref="N16">_xlfn.IFS(main[[#This Row],[Rating]]=5,"Excellent",main[[#This Row],[Rating]]=4,"Good",TRUE,"Average")</f>
        <v>Average</v>
      </c>
      <c r="R16" s="6" t="str">
        <v>Printer</v>
      </c>
      <c r="W16" s="6" t="str">
        <f>IF(AND(main[[#This Row],[Units_Sold]]&gt;12,main[[#This Row],[Revenue]]&gt;10000),"Top Seller","Regular")</f>
        <v>Regular</v>
      </c>
      <c r="AA16" s="6" t="str">
        <f>IF(OR(main[[#This Row],[Revenue]]&lt;2000,main[[#This Row],[Units_Sold]]&lt;7),"Attention Needed","Not Needed")</f>
        <v>Not Needed</v>
      </c>
    </row>
    <row r="17" spans="1:27">
      <c r="A17" s="3" t="s">
        <v>47</v>
      </c>
      <c r="B17" s="3" t="s">
        <v>20</v>
      </c>
      <c r="C17" s="3" t="s">
        <v>8</v>
      </c>
      <c r="D17" s="3" t="s">
        <v>11</v>
      </c>
      <c r="E17" s="3">
        <v>10</v>
      </c>
      <c r="F17" s="5">
        <v>3500</v>
      </c>
      <c r="G17" s="3" t="s">
        <v>27</v>
      </c>
      <c r="H17" s="3" t="s">
        <v>48</v>
      </c>
      <c r="I17" s="3">
        <v>4</v>
      </c>
      <c r="N17" s="6" t="str" cm="1">
        <f t="array" ref="N17">_xlfn.IFS(main[[#This Row],[Rating]]=5,"Excellent",main[[#This Row],[Rating]]=4,"Good",TRUE,"Average")</f>
        <v>Good</v>
      </c>
      <c r="R17" s="6" t="str">
        <v>Monitor</v>
      </c>
      <c r="W17" s="6" t="str">
        <f>IF(AND(main[[#This Row],[Units_Sold]]&gt;12,main[[#This Row],[Revenue]]&gt;10000),"Top Seller","Regular")</f>
        <v>Regular</v>
      </c>
      <c r="AA17" s="6" t="str">
        <f>IF(OR(main[[#This Row],[Revenue]]&lt;2000,main[[#This Row],[Units_Sold]]&lt;7),"Attention Needed","Not Needed")</f>
        <v>Not Needed</v>
      </c>
    </row>
    <row r="18" spans="1:27">
      <c r="A18" s="3" t="s">
        <v>49</v>
      </c>
      <c r="B18" s="3" t="s">
        <v>33</v>
      </c>
      <c r="C18" s="3" t="s">
        <v>10</v>
      </c>
      <c r="D18" s="3" t="s">
        <v>26</v>
      </c>
      <c r="E18" s="3">
        <v>6</v>
      </c>
      <c r="F18" s="5">
        <v>900</v>
      </c>
      <c r="G18" s="3" t="s">
        <v>23</v>
      </c>
      <c r="H18" s="3" t="s">
        <v>48</v>
      </c>
      <c r="I18" s="3">
        <v>3</v>
      </c>
      <c r="N18" s="6" t="str" cm="1">
        <f t="array" ref="N18">_xlfn.IFS(main[[#This Row],[Rating]]=5,"Excellent",main[[#This Row],[Rating]]=4,"Good",TRUE,"Average")</f>
        <v>Average</v>
      </c>
      <c r="R18" s="6" t="str">
        <v>Headphones</v>
      </c>
      <c r="W18" s="6" t="str">
        <f>IF(AND(main[[#This Row],[Units_Sold]]&gt;12,main[[#This Row],[Revenue]]&gt;10000),"Top Seller","Regular")</f>
        <v>Regular</v>
      </c>
      <c r="AA18" s="6" t="str">
        <f>IF(OR(main[[#This Row],[Revenue]]&lt;2000,main[[#This Row],[Units_Sold]]&lt;7),"Attention Needed","Not Needed")</f>
        <v>Attention Needed</v>
      </c>
    </row>
    <row r="19" spans="1:27">
      <c r="A19" s="3" t="s">
        <v>50</v>
      </c>
      <c r="B19" s="3" t="s">
        <v>30</v>
      </c>
      <c r="C19" s="3" t="s">
        <v>9</v>
      </c>
      <c r="D19" s="3" t="s">
        <v>12</v>
      </c>
      <c r="E19" s="3">
        <v>11</v>
      </c>
      <c r="F19" s="5">
        <v>9900</v>
      </c>
      <c r="G19" s="3" t="s">
        <v>16</v>
      </c>
      <c r="H19" s="3" t="s">
        <v>48</v>
      </c>
      <c r="I19" s="3">
        <v>5</v>
      </c>
      <c r="N19" s="6" t="str" cm="1">
        <f t="array" ref="N19">_xlfn.IFS(main[[#This Row],[Rating]]=5,"Excellent",main[[#This Row],[Rating]]=4,"Good",TRUE,"Average")</f>
        <v>Excellent</v>
      </c>
      <c r="R19" s="6" t="str">
        <v>Laptop</v>
      </c>
      <c r="W19" s="6" t="str">
        <f>IF(AND(main[[#This Row],[Units_Sold]]&gt;12,main[[#This Row],[Revenue]]&gt;10000),"Top Seller","Regular")</f>
        <v>Regular</v>
      </c>
      <c r="AA19" s="6" t="str">
        <f>IF(OR(main[[#This Row],[Revenue]]&lt;2000,main[[#This Row],[Units_Sold]]&lt;7),"Attention Needed","Not Needed")</f>
        <v>Not Needed</v>
      </c>
    </row>
    <row r="20" spans="1:27">
      <c r="A20" s="3" t="s">
        <v>51</v>
      </c>
      <c r="B20" s="3" t="s">
        <v>25</v>
      </c>
      <c r="C20" s="3" t="s">
        <v>8</v>
      </c>
      <c r="D20" s="3" t="s">
        <v>14</v>
      </c>
      <c r="E20" s="3">
        <v>9</v>
      </c>
      <c r="F20" s="5">
        <v>4050</v>
      </c>
      <c r="G20" s="3" t="s">
        <v>23</v>
      </c>
      <c r="H20" s="3" t="s">
        <v>52</v>
      </c>
      <c r="I20" s="3">
        <v>4</v>
      </c>
      <c r="N20" s="6" t="str" cm="1">
        <f t="array" ref="N20">_xlfn.IFS(main[[#This Row],[Rating]]=5,"Excellent",main[[#This Row],[Rating]]=4,"Good",TRUE,"Average")</f>
        <v>Good</v>
      </c>
      <c r="R20" s="6" t="str">
        <v>Tablet</v>
      </c>
      <c r="W20" s="6" t="str">
        <f>IF(AND(main[[#This Row],[Units_Sold]]&gt;12,main[[#This Row],[Revenue]]&gt;10000),"Top Seller","Regular")</f>
        <v>Regular</v>
      </c>
      <c r="AA20" s="6" t="str">
        <f>IF(OR(main[[#This Row],[Revenue]]&lt;2000,main[[#This Row],[Units_Sold]]&lt;7),"Attention Needed","Not Needed")</f>
        <v>Not Needed</v>
      </c>
    </row>
    <row r="21" spans="1:27">
      <c r="A21" s="3" t="s">
        <v>53</v>
      </c>
      <c r="B21" s="3" t="s">
        <v>33</v>
      </c>
      <c r="C21" s="3" t="s">
        <v>7</v>
      </c>
      <c r="D21" s="3" t="s">
        <v>11</v>
      </c>
      <c r="E21" s="3">
        <v>5</v>
      </c>
      <c r="F21" s="5">
        <v>1750</v>
      </c>
      <c r="G21" s="3" t="s">
        <v>16</v>
      </c>
      <c r="H21" s="3" t="s">
        <v>52</v>
      </c>
      <c r="I21" s="3">
        <v>3</v>
      </c>
      <c r="N21" s="6" t="str" cm="1">
        <f t="array" ref="N21">_xlfn.IFS(main[[#This Row],[Rating]]=5,"Excellent",main[[#This Row],[Rating]]=4,"Good",TRUE,"Average")</f>
        <v>Average</v>
      </c>
      <c r="R21" s="6" t="str">
        <v>Monitor</v>
      </c>
      <c r="W21" s="6" t="str">
        <f>IF(AND(main[[#This Row],[Units_Sold]]&gt;12,main[[#This Row],[Revenue]]&gt;10000),"Top Seller","Regular")</f>
        <v>Regular</v>
      </c>
      <c r="AA21" s="6" t="str">
        <f>IF(OR(main[[#This Row],[Revenue]]&lt;2000,main[[#This Row],[Units_Sold]]&lt;7),"Attention Needed","Not Needed")</f>
        <v>Attention Needed</v>
      </c>
    </row>
    <row r="22" spans="1:27">
      <c r="A22" s="3" t="s">
        <v>54</v>
      </c>
      <c r="B22" s="3" t="s">
        <v>20</v>
      </c>
      <c r="C22" s="3" t="s">
        <v>10</v>
      </c>
      <c r="D22" s="3" t="s">
        <v>12</v>
      </c>
      <c r="E22" s="3">
        <v>16</v>
      </c>
      <c r="F22" s="5">
        <v>12800</v>
      </c>
      <c r="G22" s="3" t="s">
        <v>23</v>
      </c>
      <c r="H22" s="3" t="s">
        <v>52</v>
      </c>
      <c r="I22" s="3">
        <v>5</v>
      </c>
      <c r="N22" s="6" t="str" cm="1">
        <f t="array" ref="N22">_xlfn.IFS(main[[#This Row],[Rating]]=5,"Excellent",main[[#This Row],[Rating]]=4,"Good",TRUE,"Average")</f>
        <v>Excellent</v>
      </c>
      <c r="R22" s="6" t="str">
        <v>Laptop</v>
      </c>
      <c r="W22" s="6" t="str">
        <f>IF(AND(main[[#This Row],[Units_Sold]]&gt;12,main[[#This Row],[Revenue]]&gt;10000),"Top Seller","Regular")</f>
        <v>Top Seller</v>
      </c>
      <c r="AA22" s="6" t="str">
        <f>IF(OR(main[[#This Row],[Revenue]]&lt;2000,main[[#This Row],[Units_Sold]]&lt;7),"Attention Needed","Not Needed")</f>
        <v>Not Needed</v>
      </c>
    </row>
    <row r="23" spans="1:27">
      <c r="A23" s="3" t="s">
        <v>55</v>
      </c>
      <c r="B23" s="3" t="s">
        <v>30</v>
      </c>
      <c r="C23" s="3" t="s">
        <v>8</v>
      </c>
      <c r="D23" s="3" t="s">
        <v>13</v>
      </c>
      <c r="E23" s="3">
        <v>7</v>
      </c>
      <c r="F23" s="5">
        <v>2100</v>
      </c>
      <c r="G23" s="3" t="s">
        <v>27</v>
      </c>
      <c r="H23" s="3" t="s">
        <v>56</v>
      </c>
      <c r="I23" s="3">
        <v>4</v>
      </c>
      <c r="N23" s="6" t="str" cm="1">
        <f t="array" ref="N23">_xlfn.IFS(main[[#This Row],[Rating]]=5,"Excellent",main[[#This Row],[Rating]]=4,"Good",TRUE,"Average")</f>
        <v>Good</v>
      </c>
      <c r="R23" s="6" t="str">
        <v>Printer</v>
      </c>
      <c r="W23" s="6" t="str">
        <f>IF(AND(main[[#This Row],[Units_Sold]]&gt;12,main[[#This Row],[Revenue]]&gt;10000),"Top Seller","Regular")</f>
        <v>Regular</v>
      </c>
      <c r="AA23" s="6" t="str">
        <f>IF(OR(main[[#This Row],[Revenue]]&lt;2000,main[[#This Row],[Units_Sold]]&lt;7),"Attention Needed","Not Needed")</f>
        <v>Not Needed</v>
      </c>
    </row>
    <row r="24" spans="1:27">
      <c r="A24" s="3" t="s">
        <v>57</v>
      </c>
      <c r="B24" s="3" t="s">
        <v>25</v>
      </c>
      <c r="C24" s="3" t="s">
        <v>9</v>
      </c>
      <c r="D24" s="3" t="s">
        <v>26</v>
      </c>
      <c r="E24" s="3">
        <v>10</v>
      </c>
      <c r="F24" s="5">
        <v>1500</v>
      </c>
      <c r="G24" s="3" t="s">
        <v>16</v>
      </c>
      <c r="H24" s="3" t="s">
        <v>56</v>
      </c>
      <c r="I24" s="3">
        <v>3</v>
      </c>
      <c r="N24" s="6" t="str" cm="1">
        <f t="array" ref="N24">_xlfn.IFS(main[[#This Row],[Rating]]=5,"Excellent",main[[#This Row],[Rating]]=4,"Good",TRUE,"Average")</f>
        <v>Average</v>
      </c>
      <c r="R24" s="6" t="str">
        <v>Headphones</v>
      </c>
      <c r="W24" s="6" t="str">
        <f>IF(AND(main[[#This Row],[Units_Sold]]&gt;12,main[[#This Row],[Revenue]]&gt;10000),"Top Seller","Regular")</f>
        <v>Regular</v>
      </c>
      <c r="AA24" s="6" t="str">
        <f>IF(OR(main[[#This Row],[Revenue]]&lt;2000,main[[#This Row],[Units_Sold]]&lt;7),"Attention Needed","Not Needed")</f>
        <v>Attention Needed</v>
      </c>
    </row>
    <row r="25" spans="1:27">
      <c r="A25" s="3" t="s">
        <v>58</v>
      </c>
      <c r="B25" s="3" t="s">
        <v>33</v>
      </c>
      <c r="C25" s="3" t="s">
        <v>10</v>
      </c>
      <c r="D25" s="3" t="s">
        <v>11</v>
      </c>
      <c r="E25" s="3">
        <v>12</v>
      </c>
      <c r="F25" s="5">
        <v>4200</v>
      </c>
      <c r="G25" s="3" t="s">
        <v>23</v>
      </c>
      <c r="H25" s="3" t="s">
        <v>56</v>
      </c>
      <c r="I25" s="3">
        <v>4</v>
      </c>
      <c r="N25" s="6" t="str" cm="1">
        <f t="array" ref="N25">_xlfn.IFS(main[[#This Row],[Rating]]=5,"Excellent",main[[#This Row],[Rating]]=4,"Good",TRUE,"Average")</f>
        <v>Good</v>
      </c>
      <c r="R25" s="6" t="str">
        <v>Monitor</v>
      </c>
      <c r="W25" s="6" t="str">
        <f>IF(AND(main[[#This Row],[Units_Sold]]&gt;12,main[[#This Row],[Revenue]]&gt;10000),"Top Seller","Regular")</f>
        <v>Regular</v>
      </c>
      <c r="AA25" s="6" t="str">
        <f>IF(OR(main[[#This Row],[Revenue]]&lt;2000,main[[#This Row],[Units_Sold]]&lt;7),"Attention Needed","Not Needed")</f>
        <v>Not Needed</v>
      </c>
    </row>
    <row r="26" spans="1:27">
      <c r="A26" s="3" t="s">
        <v>59</v>
      </c>
      <c r="B26" s="3" t="s">
        <v>20</v>
      </c>
      <c r="C26" s="3" t="s">
        <v>7</v>
      </c>
      <c r="D26" s="3" t="s">
        <v>14</v>
      </c>
      <c r="E26" s="3">
        <v>15</v>
      </c>
      <c r="F26" s="5">
        <v>6750</v>
      </c>
      <c r="G26" s="3" t="s">
        <v>16</v>
      </c>
      <c r="H26" s="3" t="s">
        <v>60</v>
      </c>
      <c r="I26" s="3">
        <v>5</v>
      </c>
      <c r="N26" s="6" t="str" cm="1">
        <f t="array" ref="N26">_xlfn.IFS(main[[#This Row],[Rating]]=5,"Excellent",main[[#This Row],[Rating]]=4,"Good",TRUE,"Average")</f>
        <v>Excellent</v>
      </c>
      <c r="R26" s="6" t="str">
        <v>Tablet</v>
      </c>
      <c r="W26" s="6" t="str">
        <f>IF(AND(main[[#This Row],[Units_Sold]]&gt;12,main[[#This Row],[Revenue]]&gt;10000),"Top Seller","Regular")</f>
        <v>Regular</v>
      </c>
      <c r="AA26" s="6" t="str">
        <f>IF(OR(main[[#This Row],[Revenue]]&lt;2000,main[[#This Row],[Units_Sold]]&lt;7),"Attention Needed","Not Needed")</f>
        <v>Not Needed</v>
      </c>
    </row>
    <row r="27" spans="1:27">
      <c r="A27" s="3" t="s">
        <v>61</v>
      </c>
      <c r="B27" s="3" t="s">
        <v>30</v>
      </c>
      <c r="C27" s="3" t="s">
        <v>8</v>
      </c>
      <c r="D27" s="3" t="s">
        <v>12</v>
      </c>
      <c r="E27" s="3">
        <v>9</v>
      </c>
      <c r="F27" s="5">
        <v>8100</v>
      </c>
      <c r="G27" s="3" t="s">
        <v>23</v>
      </c>
      <c r="H27" s="3" t="s">
        <v>60</v>
      </c>
      <c r="I27" s="3">
        <v>4</v>
      </c>
      <c r="N27" s="6" t="str" cm="1">
        <f t="array" ref="N27">_xlfn.IFS(main[[#This Row],[Rating]]=5,"Excellent",main[[#This Row],[Rating]]=4,"Good",TRUE,"Average")</f>
        <v>Good</v>
      </c>
      <c r="R27" s="6" t="str">
        <v>Laptop</v>
      </c>
      <c r="W27" s="6" t="str">
        <f>IF(AND(main[[#This Row],[Units_Sold]]&gt;12,main[[#This Row],[Revenue]]&gt;10000),"Top Seller","Regular")</f>
        <v>Regular</v>
      </c>
      <c r="AA27" s="6" t="str">
        <f>IF(OR(main[[#This Row],[Revenue]]&lt;2000,main[[#This Row],[Units_Sold]]&lt;7),"Attention Needed","Not Needed")</f>
        <v>Not Needed</v>
      </c>
    </row>
    <row r="28" spans="1:27">
      <c r="A28" s="3" t="s">
        <v>62</v>
      </c>
      <c r="B28" s="3" t="s">
        <v>25</v>
      </c>
      <c r="C28" s="3" t="s">
        <v>9</v>
      </c>
      <c r="D28" s="3" t="s">
        <v>13</v>
      </c>
      <c r="E28" s="3">
        <v>8</v>
      </c>
      <c r="F28" s="5">
        <v>2400</v>
      </c>
      <c r="G28" s="3" t="s">
        <v>16</v>
      </c>
      <c r="H28" s="3" t="s">
        <v>60</v>
      </c>
      <c r="I28" s="3">
        <v>3</v>
      </c>
      <c r="N28" s="6" t="str" cm="1">
        <f t="array" ref="N28">_xlfn.IFS(main[[#This Row],[Rating]]=5,"Excellent",main[[#This Row],[Rating]]=4,"Good",TRUE,"Average")</f>
        <v>Average</v>
      </c>
      <c r="R28" s="6" t="str">
        <v>Printer</v>
      </c>
      <c r="W28" s="6" t="str">
        <f>IF(AND(main[[#This Row],[Units_Sold]]&gt;12,main[[#This Row],[Revenue]]&gt;10000),"Top Seller","Regular")</f>
        <v>Regular</v>
      </c>
      <c r="AA28" s="6" t="str">
        <f>IF(OR(main[[#This Row],[Revenue]]&lt;2000,main[[#This Row],[Units_Sold]]&lt;7),"Attention Needed","Not Needed")</f>
        <v>Not Needed</v>
      </c>
    </row>
    <row r="29" spans="1:27">
      <c r="A29" s="3" t="s">
        <v>63</v>
      </c>
      <c r="B29" s="3" t="s">
        <v>33</v>
      </c>
      <c r="C29" s="3" t="s">
        <v>8</v>
      </c>
      <c r="D29" s="3" t="s">
        <v>11</v>
      </c>
      <c r="E29" s="3">
        <v>10</v>
      </c>
      <c r="F29" s="5">
        <v>3500</v>
      </c>
      <c r="G29" s="3" t="s">
        <v>27</v>
      </c>
      <c r="H29" s="3" t="s">
        <v>60</v>
      </c>
      <c r="I29" s="3">
        <v>4</v>
      </c>
      <c r="N29" s="6" t="str" cm="1">
        <f t="array" ref="N29">_xlfn.IFS(main[[#This Row],[Rating]]=5,"Excellent",main[[#This Row],[Rating]]=4,"Good",TRUE,"Average")</f>
        <v>Good</v>
      </c>
      <c r="R29" s="6" t="str">
        <v>Monitor</v>
      </c>
      <c r="W29" s="6" t="str">
        <f>IF(AND(main[[#This Row],[Units_Sold]]&gt;12,main[[#This Row],[Revenue]]&gt;10000),"Top Seller","Regular")</f>
        <v>Regular</v>
      </c>
      <c r="AA29" s="6" t="str">
        <f>IF(OR(main[[#This Row],[Revenue]]&lt;2000,main[[#This Row],[Units_Sold]]&lt;7),"Attention Needed","Not Needed")</f>
        <v>Not Needed</v>
      </c>
    </row>
    <row r="30" spans="1:27">
      <c r="A30" s="3" t="s">
        <v>64</v>
      </c>
      <c r="B30" s="3" t="s">
        <v>20</v>
      </c>
      <c r="C30" s="3" t="s">
        <v>9</v>
      </c>
      <c r="D30" s="3" t="s">
        <v>12</v>
      </c>
      <c r="E30" s="3">
        <v>18</v>
      </c>
      <c r="F30" s="5">
        <v>16200</v>
      </c>
      <c r="G30" s="3" t="s">
        <v>16</v>
      </c>
      <c r="H30" s="3" t="s">
        <v>65</v>
      </c>
      <c r="I30" s="3">
        <v>5</v>
      </c>
      <c r="N30" s="6" t="str" cm="1">
        <f t="array" ref="N30">_xlfn.IFS(main[[#This Row],[Rating]]=5,"Excellent",main[[#This Row],[Rating]]=4,"Good",TRUE,"Average")</f>
        <v>Excellent</v>
      </c>
      <c r="R30" s="6" t="str">
        <v>Laptop</v>
      </c>
      <c r="W30" s="6" t="str">
        <f>IF(AND(main[[#This Row],[Units_Sold]]&gt;12,main[[#This Row],[Revenue]]&gt;10000),"Top Seller","Regular")</f>
        <v>Top Seller</v>
      </c>
      <c r="AA30" s="6" t="str">
        <f>IF(OR(main[[#This Row],[Revenue]]&lt;2000,main[[#This Row],[Units_Sold]]&lt;7),"Attention Needed","Not Needed")</f>
        <v>Not Needed</v>
      </c>
    </row>
    <row r="31" spans="1:27">
      <c r="A31" s="3" t="s">
        <v>66</v>
      </c>
      <c r="B31" s="3" t="s">
        <v>30</v>
      </c>
      <c r="C31" s="3" t="s">
        <v>7</v>
      </c>
      <c r="D31" s="3" t="s">
        <v>14</v>
      </c>
      <c r="E31" s="3">
        <v>12</v>
      </c>
      <c r="F31" s="5">
        <v>5400</v>
      </c>
      <c r="G31" s="3" t="s">
        <v>23</v>
      </c>
      <c r="H31" s="3" t="s">
        <v>65</v>
      </c>
      <c r="I31" s="3">
        <v>4</v>
      </c>
      <c r="N31" s="6" t="str" cm="1">
        <f t="array" ref="N31">_xlfn.IFS(main[[#This Row],[Rating]]=5,"Excellent",main[[#This Row],[Rating]]=4,"Good",TRUE,"Average")</f>
        <v>Good</v>
      </c>
      <c r="R31" s="6" t="str">
        <v>Tablet</v>
      </c>
      <c r="W31" s="6" t="str">
        <f>IF(AND(main[[#This Row],[Units_Sold]]&gt;12,main[[#This Row],[Revenue]]&gt;10000),"Top Seller","Regular")</f>
        <v>Regular</v>
      </c>
      <c r="AA31" s="6" t="str">
        <f>IF(OR(main[[#This Row],[Revenue]]&lt;2000,main[[#This Row],[Units_Sold]]&lt;7),"Attention Needed","Not Needed")</f>
        <v>Not Needed</v>
      </c>
    </row>
    <row r="32" spans="1:27">
      <c r="A32" s="3" t="s">
        <v>67</v>
      </c>
      <c r="B32" s="3" t="s">
        <v>33</v>
      </c>
      <c r="C32" s="3" t="s">
        <v>8</v>
      </c>
      <c r="D32" s="3" t="s">
        <v>26</v>
      </c>
      <c r="E32" s="3">
        <v>7</v>
      </c>
      <c r="F32" s="5">
        <v>1050</v>
      </c>
      <c r="G32" s="3" t="s">
        <v>27</v>
      </c>
      <c r="H32" s="3" t="s">
        <v>65</v>
      </c>
      <c r="I32" s="3">
        <v>3</v>
      </c>
      <c r="N32" s="6" t="str" cm="1">
        <f t="array" ref="N32">_xlfn.IFS(main[[#This Row],[Rating]]=5,"Excellent",main[[#This Row],[Rating]]=4,"Good",TRUE,"Average")</f>
        <v>Average</v>
      </c>
      <c r="R32" s="6" t="str">
        <v>Headphones</v>
      </c>
      <c r="W32" s="6" t="str">
        <f>IF(AND(main[[#This Row],[Units_Sold]]&gt;12,main[[#This Row],[Revenue]]&gt;10000),"Top Seller","Regular")</f>
        <v>Regular</v>
      </c>
      <c r="AA32" s="6" t="str">
        <f>IF(OR(main[[#This Row],[Revenue]]&lt;2000,main[[#This Row],[Units_Sold]]&lt;7),"Attention Needed","Not Needed")</f>
        <v>Attention Needed</v>
      </c>
    </row>
    <row r="33" spans="1:27">
      <c r="A33" s="3" t="s">
        <v>68</v>
      </c>
      <c r="B33" s="3" t="s">
        <v>25</v>
      </c>
      <c r="C33" s="3" t="s">
        <v>7</v>
      </c>
      <c r="D33" s="3" t="s">
        <v>11</v>
      </c>
      <c r="E33" s="3">
        <v>9</v>
      </c>
      <c r="F33" s="5">
        <v>3150</v>
      </c>
      <c r="G33" s="3" t="s">
        <v>16</v>
      </c>
      <c r="H33" s="3" t="s">
        <v>65</v>
      </c>
      <c r="I33" s="3">
        <v>4</v>
      </c>
      <c r="N33" s="6" t="str" cm="1">
        <f t="array" ref="N33">_xlfn.IFS(main[[#This Row],[Rating]]=5,"Excellent",main[[#This Row],[Rating]]=4,"Good",TRUE,"Average")</f>
        <v>Good</v>
      </c>
      <c r="R33" s="6" t="str">
        <v>Monitor</v>
      </c>
      <c r="W33" s="6" t="str">
        <f>IF(AND(main[[#This Row],[Units_Sold]]&gt;12,main[[#This Row],[Revenue]]&gt;10000),"Top Seller","Regular")</f>
        <v>Regular</v>
      </c>
      <c r="AA33" s="6" t="str">
        <f>IF(OR(main[[#This Row],[Revenue]]&lt;2000,main[[#This Row],[Units_Sold]]&lt;7),"Attention Needed","Not Needed")</f>
        <v>Not Needed</v>
      </c>
    </row>
    <row r="34" spans="1:27">
      <c r="A34" s="3" t="s">
        <v>69</v>
      </c>
      <c r="B34" s="3" t="s">
        <v>20</v>
      </c>
      <c r="C34" s="3" t="s">
        <v>10</v>
      </c>
      <c r="D34" s="3" t="s">
        <v>13</v>
      </c>
      <c r="E34" s="3">
        <v>11</v>
      </c>
      <c r="F34" s="5">
        <v>3300</v>
      </c>
      <c r="G34" s="3" t="s">
        <v>23</v>
      </c>
      <c r="H34" s="3" t="s">
        <v>21</v>
      </c>
      <c r="I34" s="3">
        <v>5</v>
      </c>
      <c r="N34" s="6" t="str" cm="1">
        <f t="array" ref="N34">_xlfn.IFS(main[[#This Row],[Rating]]=5,"Excellent",main[[#This Row],[Rating]]=4,"Good",TRUE,"Average")</f>
        <v>Excellent</v>
      </c>
      <c r="R34" s="6" t="str">
        <v>Printer</v>
      </c>
      <c r="W34" s="6" t="str">
        <f>IF(AND(main[[#This Row],[Units_Sold]]&gt;12,main[[#This Row],[Revenue]]&gt;10000),"Top Seller","Regular")</f>
        <v>Regular</v>
      </c>
      <c r="AA34" s="6" t="str">
        <f>IF(OR(main[[#This Row],[Revenue]]&lt;2000,main[[#This Row],[Units_Sold]]&lt;7),"Attention Needed","Not Needed")</f>
        <v>Not Needed</v>
      </c>
    </row>
    <row r="35" spans="1:27">
      <c r="A35" s="3" t="s">
        <v>70</v>
      </c>
      <c r="B35" s="3" t="s">
        <v>30</v>
      </c>
      <c r="C35" s="3" t="s">
        <v>9</v>
      </c>
      <c r="D35" s="3" t="s">
        <v>12</v>
      </c>
      <c r="E35" s="3">
        <v>10</v>
      </c>
      <c r="F35" s="5">
        <v>9000</v>
      </c>
      <c r="G35" s="3" t="s">
        <v>16</v>
      </c>
      <c r="H35" s="3" t="s">
        <v>28</v>
      </c>
      <c r="I35" s="3">
        <v>4</v>
      </c>
      <c r="N35" s="6" t="str" cm="1">
        <f t="array" ref="N35">_xlfn.IFS(main[[#This Row],[Rating]]=5,"Excellent",main[[#This Row],[Rating]]=4,"Good",TRUE,"Average")</f>
        <v>Good</v>
      </c>
      <c r="R35" s="6" t="str">
        <v>Laptop</v>
      </c>
      <c r="W35" s="6" t="str">
        <f>IF(AND(main[[#This Row],[Units_Sold]]&gt;12,main[[#This Row],[Revenue]]&gt;10000),"Top Seller","Regular")</f>
        <v>Regular</v>
      </c>
      <c r="AA35" s="6" t="str">
        <f>IF(OR(main[[#This Row],[Revenue]]&lt;2000,main[[#This Row],[Units_Sold]]&lt;7),"Attention Needed","Not Needed")</f>
        <v>Not Needed</v>
      </c>
    </row>
    <row r="36" spans="1:27">
      <c r="A36" s="3" t="s">
        <v>71</v>
      </c>
      <c r="B36" s="3" t="s">
        <v>33</v>
      </c>
      <c r="C36" s="3" t="s">
        <v>7</v>
      </c>
      <c r="D36" s="3" t="s">
        <v>14</v>
      </c>
      <c r="E36" s="3">
        <v>8</v>
      </c>
      <c r="F36" s="5">
        <v>3600</v>
      </c>
      <c r="G36" s="3" t="s">
        <v>23</v>
      </c>
      <c r="H36" s="3" t="s">
        <v>31</v>
      </c>
      <c r="I36" s="3">
        <v>3</v>
      </c>
      <c r="N36" s="6" t="str" cm="1">
        <f t="array" ref="N36">_xlfn.IFS(main[[#This Row],[Rating]]=5,"Excellent",main[[#This Row],[Rating]]=4,"Good",TRUE,"Average")</f>
        <v>Average</v>
      </c>
      <c r="R36" s="6" t="str">
        <v>Tablet</v>
      </c>
      <c r="W36" s="6" t="str">
        <f>IF(AND(main[[#This Row],[Units_Sold]]&gt;12,main[[#This Row],[Revenue]]&gt;10000),"Top Seller","Regular")</f>
        <v>Regular</v>
      </c>
      <c r="AA36" s="6" t="str">
        <f>IF(OR(main[[#This Row],[Revenue]]&lt;2000,main[[#This Row],[Units_Sold]]&lt;7),"Attention Needed","Not Needed")</f>
        <v>Not Needed</v>
      </c>
    </row>
    <row r="37" spans="1:27">
      <c r="A37" s="3" t="s">
        <v>72</v>
      </c>
      <c r="B37" s="3" t="s">
        <v>25</v>
      </c>
      <c r="C37" s="3" t="s">
        <v>10</v>
      </c>
      <c r="D37" s="3" t="s">
        <v>11</v>
      </c>
      <c r="E37" s="3">
        <v>7</v>
      </c>
      <c r="F37" s="5">
        <v>2450</v>
      </c>
      <c r="G37" s="3" t="s">
        <v>16</v>
      </c>
      <c r="H37" s="3" t="s">
        <v>35</v>
      </c>
      <c r="I37" s="3">
        <v>4</v>
      </c>
      <c r="N37" s="6" t="str" cm="1">
        <f t="array" ref="N37">_xlfn.IFS(main[[#This Row],[Rating]]=5,"Excellent",main[[#This Row],[Rating]]=4,"Good",TRUE,"Average")</f>
        <v>Good</v>
      </c>
      <c r="R37" s="6" t="str">
        <v>Monitor</v>
      </c>
      <c r="W37" s="6" t="str">
        <f>IF(AND(main[[#This Row],[Units_Sold]]&gt;12,main[[#This Row],[Revenue]]&gt;10000),"Top Seller","Regular")</f>
        <v>Regular</v>
      </c>
      <c r="AA37" s="6" t="str">
        <f>IF(OR(main[[#This Row],[Revenue]]&lt;2000,main[[#This Row],[Units_Sold]]&lt;7),"Attention Needed","Not Needed")</f>
        <v>Not Needed</v>
      </c>
    </row>
    <row r="38" spans="1:27">
      <c r="A38" s="3" t="s">
        <v>73</v>
      </c>
      <c r="B38" s="3" t="s">
        <v>20</v>
      </c>
      <c r="C38" s="3" t="s">
        <v>8</v>
      </c>
      <c r="D38" s="3" t="s">
        <v>12</v>
      </c>
      <c r="E38" s="3">
        <v>14</v>
      </c>
      <c r="F38" s="5">
        <v>11200</v>
      </c>
      <c r="G38" s="3" t="s">
        <v>16</v>
      </c>
      <c r="H38" s="3" t="s">
        <v>15</v>
      </c>
      <c r="I38" s="3">
        <v>5</v>
      </c>
      <c r="N38" s="6" t="str" cm="1">
        <f t="array" ref="N38">_xlfn.IFS(main[[#This Row],[Rating]]=5,"Excellent",main[[#This Row],[Rating]]=4,"Good",TRUE,"Average")</f>
        <v>Excellent</v>
      </c>
      <c r="R38" s="6" t="str">
        <v>Laptop</v>
      </c>
      <c r="W38" s="6" t="str">
        <f>IF(AND(main[[#This Row],[Units_Sold]]&gt;12,main[[#This Row],[Revenue]]&gt;10000),"Top Seller","Regular")</f>
        <v>Top Seller</v>
      </c>
      <c r="AA38" s="6" t="str">
        <f>IF(OR(main[[#This Row],[Revenue]]&lt;2000,main[[#This Row],[Units_Sold]]&lt;7),"Attention Needed","Not Needed")</f>
        <v>Not Needed</v>
      </c>
    </row>
    <row r="39" spans="1:27">
      <c r="A39" s="3" t="s">
        <v>74</v>
      </c>
      <c r="B39" s="3" t="s">
        <v>30</v>
      </c>
      <c r="C39" s="3" t="s">
        <v>9</v>
      </c>
      <c r="D39" s="3" t="s">
        <v>13</v>
      </c>
      <c r="E39" s="3">
        <v>6</v>
      </c>
      <c r="F39" s="5">
        <v>1800</v>
      </c>
      <c r="G39" s="3" t="s">
        <v>27</v>
      </c>
      <c r="H39" s="3" t="s">
        <v>41</v>
      </c>
      <c r="I39" s="3">
        <v>3</v>
      </c>
      <c r="N39" s="6" t="str" cm="1">
        <f t="array" ref="N39">_xlfn.IFS(main[[#This Row],[Rating]]=5,"Excellent",main[[#This Row],[Rating]]=4,"Good",TRUE,"Average")</f>
        <v>Average</v>
      </c>
      <c r="R39" s="6" t="str">
        <v>Printer</v>
      </c>
      <c r="W39" s="6" t="str">
        <f>IF(AND(main[[#This Row],[Units_Sold]]&gt;12,main[[#This Row],[Revenue]]&gt;10000),"Top Seller","Regular")</f>
        <v>Regular</v>
      </c>
      <c r="AA39" s="6" t="str">
        <f>IF(OR(main[[#This Row],[Revenue]]&lt;2000,main[[#This Row],[Units_Sold]]&lt;7),"Attention Needed","Not Needed")</f>
        <v>Attention Needed</v>
      </c>
    </row>
    <row r="40" spans="1:27">
      <c r="A40" s="3" t="s">
        <v>75</v>
      </c>
      <c r="B40" s="3" t="s">
        <v>33</v>
      </c>
      <c r="C40" s="3" t="s">
        <v>8</v>
      </c>
      <c r="D40" s="3" t="s">
        <v>11</v>
      </c>
      <c r="E40" s="3">
        <v>8</v>
      </c>
      <c r="F40" s="5">
        <v>2800</v>
      </c>
      <c r="G40" s="3" t="s">
        <v>23</v>
      </c>
      <c r="H40" s="3" t="s">
        <v>44</v>
      </c>
      <c r="I40" s="3">
        <v>4</v>
      </c>
      <c r="N40" s="6" t="str" cm="1">
        <f t="array" ref="N40">_xlfn.IFS(main[[#This Row],[Rating]]=5,"Excellent",main[[#This Row],[Rating]]=4,"Good",TRUE,"Average")</f>
        <v>Good</v>
      </c>
      <c r="R40" s="6" t="str">
        <v>Monitor</v>
      </c>
      <c r="W40" s="6" t="str">
        <f>IF(AND(main[[#This Row],[Units_Sold]]&gt;12,main[[#This Row],[Revenue]]&gt;10000),"Top Seller","Regular")</f>
        <v>Regular</v>
      </c>
      <c r="AA40" s="6" t="str">
        <f>IF(OR(main[[#This Row],[Revenue]]&lt;2000,main[[#This Row],[Units_Sold]]&lt;7),"Attention Needed","Not Needed")</f>
        <v>Not Needed</v>
      </c>
    </row>
    <row r="41" spans="1:27">
      <c r="A41" s="3" t="s">
        <v>76</v>
      </c>
      <c r="B41" s="3" t="s">
        <v>25</v>
      </c>
      <c r="C41" s="3" t="s">
        <v>7</v>
      </c>
      <c r="D41" s="3" t="s">
        <v>26</v>
      </c>
      <c r="E41" s="3">
        <v>9</v>
      </c>
      <c r="F41" s="5">
        <v>1350</v>
      </c>
      <c r="G41" s="3" t="s">
        <v>16</v>
      </c>
      <c r="H41" s="3" t="s">
        <v>48</v>
      </c>
      <c r="I41" s="3">
        <v>3</v>
      </c>
      <c r="N41" s="6" t="str" cm="1">
        <f t="array" ref="N41">_xlfn.IFS(main[[#This Row],[Rating]]=5,"Excellent",main[[#This Row],[Rating]]=4,"Good",TRUE,"Average")</f>
        <v>Average</v>
      </c>
      <c r="R41" s="6" t="str">
        <v>Headphones</v>
      </c>
      <c r="W41" s="6" t="str">
        <f>IF(AND(main[[#This Row],[Units_Sold]]&gt;12,main[[#This Row],[Revenue]]&gt;10000),"Top Seller","Regular")</f>
        <v>Regular</v>
      </c>
      <c r="AA41" s="6" t="str">
        <f>IF(OR(main[[#This Row],[Revenue]]&lt;2000,main[[#This Row],[Units_Sold]]&lt;7),"Attention Needed","Not Needed")</f>
        <v>Attention Needed</v>
      </c>
    </row>
    <row r="42" spans="1:27">
      <c r="A42" s="3" t="s">
        <v>77</v>
      </c>
      <c r="B42" s="3" t="s">
        <v>20</v>
      </c>
      <c r="C42" s="3" t="s">
        <v>9</v>
      </c>
      <c r="D42" s="3" t="s">
        <v>12</v>
      </c>
      <c r="E42" s="3">
        <v>13</v>
      </c>
      <c r="F42" s="5">
        <v>11700</v>
      </c>
      <c r="G42" s="3" t="s">
        <v>23</v>
      </c>
      <c r="H42" s="3" t="s">
        <v>52</v>
      </c>
      <c r="I42" s="3">
        <v>5</v>
      </c>
      <c r="N42" s="6" t="str" cm="1">
        <f t="array" ref="N42">_xlfn.IFS(main[[#This Row],[Rating]]=5,"Excellent",main[[#This Row],[Rating]]=4,"Good",TRUE,"Average")</f>
        <v>Excellent</v>
      </c>
      <c r="R42" s="6" t="str">
        <v>Laptop</v>
      </c>
      <c r="W42" s="6" t="str">
        <f>IF(AND(main[[#This Row],[Units_Sold]]&gt;12,main[[#This Row],[Revenue]]&gt;10000),"Top Seller","Regular")</f>
        <v>Top Seller</v>
      </c>
      <c r="AA42" s="6" t="str">
        <f>IF(OR(main[[#This Row],[Revenue]]&lt;2000,main[[#This Row],[Units_Sold]]&lt;7),"Attention Needed","Not Needed")</f>
        <v>Not Needed</v>
      </c>
    </row>
    <row r="43" spans="1:27">
      <c r="A43" s="3" t="s">
        <v>78</v>
      </c>
      <c r="B43" s="3" t="s">
        <v>30</v>
      </c>
      <c r="C43" s="3" t="s">
        <v>8</v>
      </c>
      <c r="D43" s="3" t="s">
        <v>14</v>
      </c>
      <c r="E43" s="3">
        <v>10</v>
      </c>
      <c r="F43" s="5">
        <v>4500</v>
      </c>
      <c r="G43" s="3" t="s">
        <v>16</v>
      </c>
      <c r="H43" s="3" t="s">
        <v>56</v>
      </c>
      <c r="I43" s="3">
        <v>4</v>
      </c>
      <c r="N43" s="6" t="str" cm="1">
        <f t="array" ref="N43">_xlfn.IFS(main[[#This Row],[Rating]]=5,"Excellent",main[[#This Row],[Rating]]=4,"Good",TRUE,"Average")</f>
        <v>Good</v>
      </c>
      <c r="R43" s="6" t="str">
        <v>Tablet</v>
      </c>
      <c r="W43" s="6" t="str">
        <f>IF(AND(main[[#This Row],[Units_Sold]]&gt;12,main[[#This Row],[Revenue]]&gt;10000),"Top Seller","Regular")</f>
        <v>Regular</v>
      </c>
      <c r="AA43" s="6" t="str">
        <f>IF(OR(main[[#This Row],[Revenue]]&lt;2000,main[[#This Row],[Units_Sold]]&lt;7),"Attention Needed","Not Needed")</f>
        <v>Not Needed</v>
      </c>
    </row>
    <row r="44" spans="1:27">
      <c r="A44" s="3" t="s">
        <v>79</v>
      </c>
      <c r="B44" s="3" t="s">
        <v>33</v>
      </c>
      <c r="C44" s="3" t="s">
        <v>10</v>
      </c>
      <c r="D44" s="3" t="s">
        <v>13</v>
      </c>
      <c r="E44" s="3">
        <v>5</v>
      </c>
      <c r="F44" s="5">
        <v>1500</v>
      </c>
      <c r="G44" s="3" t="s">
        <v>27</v>
      </c>
      <c r="H44" s="3" t="s">
        <v>60</v>
      </c>
      <c r="I44" s="3">
        <v>3</v>
      </c>
      <c r="N44" s="6" t="str" cm="1">
        <f t="array" ref="N44">_xlfn.IFS(main[[#This Row],[Rating]]=5,"Excellent",main[[#This Row],[Rating]]=4,"Good",TRUE,"Average")</f>
        <v>Average</v>
      </c>
      <c r="R44" s="6" t="str">
        <v>Printer</v>
      </c>
      <c r="W44" s="6" t="str">
        <f>IF(AND(main[[#This Row],[Units_Sold]]&gt;12,main[[#This Row],[Revenue]]&gt;10000),"Top Seller","Regular")</f>
        <v>Regular</v>
      </c>
      <c r="AA44" s="6" t="str">
        <f>IF(OR(main[[#This Row],[Revenue]]&lt;2000,main[[#This Row],[Units_Sold]]&lt;7),"Attention Needed","Not Needed")</f>
        <v>Attention Needed</v>
      </c>
    </row>
    <row r="45" spans="1:27">
      <c r="A45" s="3" t="s">
        <v>80</v>
      </c>
      <c r="B45" s="3" t="s">
        <v>25</v>
      </c>
      <c r="C45" s="3" t="s">
        <v>7</v>
      </c>
      <c r="D45" s="3" t="s">
        <v>12</v>
      </c>
      <c r="E45" s="3">
        <v>12</v>
      </c>
      <c r="F45" s="5">
        <v>9600</v>
      </c>
      <c r="G45" s="3" t="s">
        <v>16</v>
      </c>
      <c r="H45" s="3" t="s">
        <v>65</v>
      </c>
      <c r="I45" s="3">
        <v>4</v>
      </c>
      <c r="N45" s="6" t="str" cm="1">
        <f t="array" ref="N45">_xlfn.IFS(main[[#This Row],[Rating]]=5,"Excellent",main[[#This Row],[Rating]]=4,"Good",TRUE,"Average")</f>
        <v>Good</v>
      </c>
      <c r="R45" s="6" t="str">
        <v>Laptop</v>
      </c>
      <c r="W45" s="6" t="str">
        <f>IF(AND(main[[#This Row],[Units_Sold]]&gt;12,main[[#This Row],[Revenue]]&gt;10000),"Top Seller","Regular")</f>
        <v>Regular</v>
      </c>
      <c r="AA45" s="6" t="str">
        <f>IF(OR(main[[#This Row],[Revenue]]&lt;2000,main[[#This Row],[Units_Sold]]&lt;7),"Attention Needed","Not Needed")</f>
        <v>Not Needed</v>
      </c>
    </row>
    <row r="46" spans="1:27">
      <c r="A46" s="3" t="s">
        <v>81</v>
      </c>
      <c r="B46" s="3" t="s">
        <v>20</v>
      </c>
      <c r="C46" s="3" t="s">
        <v>9</v>
      </c>
      <c r="D46" s="3" t="s">
        <v>11</v>
      </c>
      <c r="E46" s="3">
        <v>11</v>
      </c>
      <c r="F46" s="5">
        <v>3850</v>
      </c>
      <c r="G46" s="3" t="s">
        <v>23</v>
      </c>
      <c r="H46" s="3" t="s">
        <v>21</v>
      </c>
      <c r="I46" s="3">
        <v>5</v>
      </c>
      <c r="N46" s="6" t="str" cm="1">
        <f t="array" ref="N46">_xlfn.IFS(main[[#This Row],[Rating]]=5,"Excellent",main[[#This Row],[Rating]]=4,"Good",TRUE,"Average")</f>
        <v>Excellent</v>
      </c>
      <c r="R46" s="6" t="str">
        <v>Monitor</v>
      </c>
      <c r="W46" s="6" t="str">
        <f>IF(AND(main[[#This Row],[Units_Sold]]&gt;12,main[[#This Row],[Revenue]]&gt;10000),"Top Seller","Regular")</f>
        <v>Regular</v>
      </c>
      <c r="AA46" s="6" t="str">
        <f>IF(OR(main[[#This Row],[Revenue]]&lt;2000,main[[#This Row],[Units_Sold]]&lt;7),"Attention Needed","Not Needed")</f>
        <v>Not Needed</v>
      </c>
    </row>
    <row r="47" spans="1:27">
      <c r="A47" s="3" t="s">
        <v>82</v>
      </c>
      <c r="B47" s="3" t="s">
        <v>30</v>
      </c>
      <c r="C47" s="3" t="s">
        <v>8</v>
      </c>
      <c r="D47" s="3" t="s">
        <v>26</v>
      </c>
      <c r="E47" s="3">
        <v>9</v>
      </c>
      <c r="F47" s="5">
        <v>1350</v>
      </c>
      <c r="G47" s="3" t="s">
        <v>16</v>
      </c>
      <c r="H47" s="3" t="s">
        <v>28</v>
      </c>
      <c r="I47" s="3">
        <v>4</v>
      </c>
      <c r="N47" s="6" t="str" cm="1">
        <f t="array" ref="N47">_xlfn.IFS(main[[#This Row],[Rating]]=5,"Excellent",main[[#This Row],[Rating]]=4,"Good",TRUE,"Average")</f>
        <v>Good</v>
      </c>
      <c r="R47" s="6" t="str">
        <v>Headphones</v>
      </c>
      <c r="W47" s="6" t="str">
        <f>IF(AND(main[[#This Row],[Units_Sold]]&gt;12,main[[#This Row],[Revenue]]&gt;10000),"Top Seller","Regular")</f>
        <v>Regular</v>
      </c>
      <c r="AA47" s="6" t="str">
        <f>IF(OR(main[[#This Row],[Revenue]]&lt;2000,main[[#This Row],[Units_Sold]]&lt;7),"Attention Needed","Not Needed")</f>
        <v>Attention Needed</v>
      </c>
    </row>
    <row r="48" spans="1:27">
      <c r="A48" s="3" t="s">
        <v>83</v>
      </c>
      <c r="B48" s="3" t="s">
        <v>33</v>
      </c>
      <c r="C48" s="3" t="s">
        <v>10</v>
      </c>
      <c r="D48" s="3" t="s">
        <v>12</v>
      </c>
      <c r="E48" s="3">
        <v>8</v>
      </c>
      <c r="F48" s="5">
        <v>6000</v>
      </c>
      <c r="G48" s="3" t="s">
        <v>23</v>
      </c>
      <c r="H48" s="3" t="s">
        <v>31</v>
      </c>
      <c r="I48" s="3">
        <v>3</v>
      </c>
      <c r="N48" s="6" t="str" cm="1">
        <f t="array" ref="N48">_xlfn.IFS(main[[#This Row],[Rating]]=5,"Excellent",main[[#This Row],[Rating]]=4,"Good",TRUE,"Average")</f>
        <v>Average</v>
      </c>
      <c r="R48" s="6" t="str">
        <v>Laptop</v>
      </c>
      <c r="W48" s="6" t="str">
        <f>IF(AND(main[[#This Row],[Units_Sold]]&gt;12,main[[#This Row],[Revenue]]&gt;10000),"Top Seller","Regular")</f>
        <v>Regular</v>
      </c>
      <c r="AA48" s="6" t="str">
        <f>IF(OR(main[[#This Row],[Revenue]]&lt;2000,main[[#This Row],[Units_Sold]]&lt;7),"Attention Needed","Not Needed")</f>
        <v>Not Needed</v>
      </c>
    </row>
    <row r="49" spans="1:27">
      <c r="A49" s="3" t="s">
        <v>84</v>
      </c>
      <c r="B49" s="3" t="s">
        <v>25</v>
      </c>
      <c r="C49" s="3" t="s">
        <v>7</v>
      </c>
      <c r="D49" s="3" t="s">
        <v>13</v>
      </c>
      <c r="E49" s="3">
        <v>10</v>
      </c>
      <c r="F49" s="5">
        <v>3000</v>
      </c>
      <c r="G49" s="3" t="s">
        <v>16</v>
      </c>
      <c r="H49" s="3" t="s">
        <v>35</v>
      </c>
      <c r="I49" s="3">
        <v>4</v>
      </c>
      <c r="N49" s="6" t="str" cm="1">
        <f t="array" ref="N49">_xlfn.IFS(main[[#This Row],[Rating]]=5,"Excellent",main[[#This Row],[Rating]]=4,"Good",TRUE,"Average")</f>
        <v>Good</v>
      </c>
      <c r="R49" s="6" t="str">
        <v>Printer</v>
      </c>
      <c r="W49" s="6" t="str">
        <f>IF(AND(main[[#This Row],[Units_Sold]]&gt;12,main[[#This Row],[Revenue]]&gt;10000),"Top Seller","Regular")</f>
        <v>Regular</v>
      </c>
      <c r="AA49" s="6" t="str">
        <f>IF(OR(main[[#This Row],[Revenue]]&lt;2000,main[[#This Row],[Units_Sold]]&lt;7),"Attention Needed","Not Needed")</f>
        <v>Not Needed</v>
      </c>
    </row>
    <row r="50" spans="1:27">
      <c r="A50" s="3" t="s">
        <v>85</v>
      </c>
      <c r="B50" s="3" t="s">
        <v>20</v>
      </c>
      <c r="C50" s="3" t="s">
        <v>8</v>
      </c>
      <c r="D50" s="3" t="s">
        <v>11</v>
      </c>
      <c r="E50" s="3">
        <v>14</v>
      </c>
      <c r="F50" s="5">
        <v>4900</v>
      </c>
      <c r="G50" s="3" t="s">
        <v>27</v>
      </c>
      <c r="H50" s="3" t="s">
        <v>15</v>
      </c>
      <c r="I50" s="3">
        <v>5</v>
      </c>
      <c r="N50" s="6" t="str" cm="1">
        <f t="array" ref="N50">_xlfn.IFS(main[[#This Row],[Rating]]=5,"Excellent",main[[#This Row],[Rating]]=4,"Good",TRUE,"Average")</f>
        <v>Excellent</v>
      </c>
      <c r="R50" s="6" t="str">
        <v>Monitor</v>
      </c>
      <c r="W50" s="6" t="str">
        <f>IF(AND(main[[#This Row],[Units_Sold]]&gt;12,main[[#This Row],[Revenue]]&gt;10000),"Top Seller","Regular")</f>
        <v>Regular</v>
      </c>
      <c r="AA50" s="6" t="str">
        <f>IF(OR(main[[#This Row],[Revenue]]&lt;2000,main[[#This Row],[Units_Sold]]&lt;7),"Attention Needed","Not Needed")</f>
        <v>Not Needed</v>
      </c>
    </row>
    <row r="51" spans="1:27">
      <c r="A51" s="3" t="s">
        <v>86</v>
      </c>
      <c r="B51" s="3" t="s">
        <v>30</v>
      </c>
      <c r="C51" s="3" t="s">
        <v>9</v>
      </c>
      <c r="D51" s="3" t="s">
        <v>12</v>
      </c>
      <c r="E51" s="3">
        <v>11</v>
      </c>
      <c r="F51" s="5">
        <v>9900</v>
      </c>
      <c r="G51" s="3" t="s">
        <v>16</v>
      </c>
      <c r="H51" s="3" t="s">
        <v>41</v>
      </c>
      <c r="I51" s="3">
        <v>4</v>
      </c>
      <c r="N51" s="6" t="str" cm="1">
        <f t="array" ref="N51">_xlfn.IFS(main[[#This Row],[Rating]]=5,"Excellent",main[[#This Row],[Rating]]=4,"Good",TRUE,"Average")</f>
        <v>Good</v>
      </c>
      <c r="R51" s="6" t="str">
        <v>Laptop</v>
      </c>
      <c r="W51" s="6" t="str">
        <f>IF(AND(main[[#This Row],[Units_Sold]]&gt;12,main[[#This Row],[Revenue]]&gt;10000),"Top Seller","Regular")</f>
        <v>Regular</v>
      </c>
      <c r="AA51" s="6" t="str">
        <f>IF(OR(main[[#This Row],[Revenue]]&lt;2000,main[[#This Row],[Units_Sold]]&lt;7),"Attention Needed","Not Needed")</f>
        <v>Not Needed</v>
      </c>
    </row>
  </sheetData>
  <phoneticPr fontId="3" type="noConversion"/>
  <conditionalFormatting sqref="A2:A51">
    <cfRule type="expression" dxfId="24" priority="1">
      <formula>AND($B2="Sales",$I2&lt;4)</formula>
    </cfRule>
  </conditionalFormatting>
  <conditionalFormatting sqref="F2:F51 I2:I51">
    <cfRule type="expression" dxfId="23" priority="3">
      <formula>AND(C2&gt;10000,F2=5)</formula>
    </cfRule>
  </conditionalFormatting>
  <conditionalFormatting sqref="F2:F51">
    <cfRule type="expression" dxfId="22" priority="2">
      <formula>F2&gt;10000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1-10</vt:lpstr>
      <vt:lpstr>11-30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2025-10-28T02:30:43Z</dcterms:created>
  <dcterms:modified xsi:type="dcterms:W3CDTF">2025-11-05T01:49:40Z</dcterms:modified>
</cp:coreProperties>
</file>