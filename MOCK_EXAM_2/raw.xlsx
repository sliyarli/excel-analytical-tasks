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ersonal\practices\mock_exam_2\"/>
    </mc:Choice>
  </mc:AlternateContent>
  <xr:revisionPtr revIDLastSave="0" documentId="13_ncr:1_{6950A994-2B19-4EC7-8331-2ECDE9A5DB3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2" sheetId="2" r:id="rId1"/>
    <sheet name="Sheet1" sheetId="1" r:id="rId2"/>
    <sheet name="Sheet3" sheetId="3" r:id="rId3"/>
  </sheets>
  <definedNames>
    <definedName name="Category">Sheet1!$E$2:$E$51</definedName>
    <definedName name="Customer_Segment">Sheet1!$K$2:$K$51</definedName>
    <definedName name="Discount">Sheet1!$I$2:$I$51</definedName>
    <definedName name="ID">Sheet1!$A$2:$A$51</definedName>
    <definedName name="Month">Sheet1!$F$2:$F$51</definedName>
    <definedName name="Product">Sheet1!$D$2:$D$51</definedName>
    <definedName name="Rating">Sheet1!$L$2:$L$51</definedName>
    <definedName name="Region">Sheet1!$B$2:$B$51</definedName>
    <definedName name="Remarks">Sheet1!$M$2:$M$51</definedName>
    <definedName name="Revenue">Sheet1!$J$2:$J$51</definedName>
    <definedName name="SalesData">Sheet1!$A$1:$M$51</definedName>
    <definedName name="Salesperson">Sheet1!$C$2:$C$51</definedName>
    <definedName name="Unit_Price">Sheet1!$H$2:$H$51</definedName>
    <definedName name="Units_Sold">Sheet1!$G$2:$G$51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Q2" i="1" a="1"/>
  <c r="Q2" i="1" s="1"/>
  <c r="O7" i="1"/>
  <c r="O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<sst xmlns="http://schemas.openxmlformats.org/spreadsheetml/2006/main" count="742" uniqueCount="136">
  <si>
    <t>ID</t>
  </si>
  <si>
    <t>Region</t>
  </si>
  <si>
    <t>Salesperson</t>
  </si>
  <si>
    <t>Product</t>
  </si>
  <si>
    <t>Category</t>
  </si>
  <si>
    <t>Month</t>
  </si>
  <si>
    <t>Units_Sold</t>
  </si>
  <si>
    <t>Unit_Price</t>
  </si>
  <si>
    <t>Discount</t>
  </si>
  <si>
    <t>Revenue</t>
  </si>
  <si>
    <t>Customer_Segment</t>
  </si>
  <si>
    <t>Rating</t>
  </si>
  <si>
    <t>Remarks</t>
  </si>
  <si>
    <t>South</t>
  </si>
  <si>
    <t>East</t>
  </si>
  <si>
    <t>North</t>
  </si>
  <si>
    <t>West</t>
  </si>
  <si>
    <t>Carol</t>
  </si>
  <si>
    <t>David</t>
  </si>
  <si>
    <t>Alice</t>
  </si>
  <si>
    <t>Bob</t>
  </si>
  <si>
    <t>Grace</t>
  </si>
  <si>
    <t>Jane</t>
  </si>
  <si>
    <t>Ian</t>
  </si>
  <si>
    <t>Frank</t>
  </si>
  <si>
    <t>Emma</t>
  </si>
  <si>
    <t>Helen</t>
  </si>
  <si>
    <t>Monitor</t>
  </si>
  <si>
    <t>Laptop</t>
  </si>
  <si>
    <t>Chair</t>
  </si>
  <si>
    <t>Printer</t>
  </si>
  <si>
    <t>Tablet</t>
  </si>
  <si>
    <t>Desk</t>
  </si>
  <si>
    <t>Electronics</t>
  </si>
  <si>
    <t>Furniture</t>
  </si>
  <si>
    <t>Office</t>
  </si>
  <si>
    <t>Jun</t>
  </si>
  <si>
    <t>May</t>
  </si>
  <si>
    <t>Feb</t>
  </si>
  <si>
    <t>Jan</t>
  </si>
  <si>
    <t>Mar</t>
  </si>
  <si>
    <t>Apr</t>
  </si>
  <si>
    <t>10%</t>
  </si>
  <si>
    <t>0%</t>
  </si>
  <si>
    <t>5%</t>
  </si>
  <si>
    <t>Corporate</t>
  </si>
  <si>
    <t>Education</t>
  </si>
  <si>
    <t>Retail</t>
  </si>
  <si>
    <t>late payment</t>
  </si>
  <si>
    <t>good sale</t>
  </si>
  <si>
    <t>loyal client</t>
  </si>
  <si>
    <t>fast mover</t>
  </si>
  <si>
    <t>regular order</t>
  </si>
  <si>
    <t>high demand</t>
  </si>
  <si>
    <t>damaged box</t>
  </si>
  <si>
    <t>fast delivery</t>
  </si>
  <si>
    <t>steady buyer</t>
  </si>
  <si>
    <t>new order</t>
  </si>
  <si>
    <t>Row Labels</t>
  </si>
  <si>
    <t>Grand Total</t>
  </si>
  <si>
    <t>Column Labels</t>
  </si>
  <si>
    <t>Sum of Revenue</t>
  </si>
  <si>
    <t>Total Sum of Revenue</t>
  </si>
  <si>
    <t>Total Sum of RevenuePerItem</t>
  </si>
  <si>
    <t>Sum of RevenuePerItem</t>
  </si>
  <si>
    <t>Revenue Average</t>
  </si>
  <si>
    <t>Employee</t>
  </si>
  <si>
    <t>Department</t>
  </si>
  <si>
    <t>Alice Brown</t>
  </si>
  <si>
    <t>Sales</t>
  </si>
  <si>
    <t>January</t>
  </si>
  <si>
    <t>Mark Green</t>
  </si>
  <si>
    <t>Consumer</t>
  </si>
  <si>
    <t>John Smith</t>
  </si>
  <si>
    <t>HR</t>
  </si>
  <si>
    <t>Headphones</t>
  </si>
  <si>
    <t>Home Office</t>
  </si>
  <si>
    <t>February</t>
  </si>
  <si>
    <t>Mary Jones</t>
  </si>
  <si>
    <t>IT</t>
  </si>
  <si>
    <t>March</t>
  </si>
  <si>
    <t>Tom White</t>
  </si>
  <si>
    <t>Finance</t>
  </si>
  <si>
    <t>Emily Clark</t>
  </si>
  <si>
    <t>April</t>
  </si>
  <si>
    <t>Daniel Lewis</t>
  </si>
  <si>
    <t>Laura Scott</t>
  </si>
  <si>
    <t>Kevin Turner</t>
  </si>
  <si>
    <t>Rachel Adams</t>
  </si>
  <si>
    <t>Chris Evans</t>
  </si>
  <si>
    <t>June</t>
  </si>
  <si>
    <t>Sarah Lee</t>
  </si>
  <si>
    <t>Paul Walker</t>
  </si>
  <si>
    <t>July</t>
  </si>
  <si>
    <t>Nancy Hill</t>
  </si>
  <si>
    <t>Adam King</t>
  </si>
  <si>
    <t>Olivia Reed</t>
  </si>
  <si>
    <t>August</t>
  </si>
  <si>
    <t>Ethan Hall</t>
  </si>
  <si>
    <t>Megan Ross</t>
  </si>
  <si>
    <t>Jason Fox</t>
  </si>
  <si>
    <t>September</t>
  </si>
  <si>
    <t>Linda Gray</t>
  </si>
  <si>
    <t>Peter Wood</t>
  </si>
  <si>
    <t>Julia Price</t>
  </si>
  <si>
    <t>October</t>
  </si>
  <si>
    <t>Brian Bell</t>
  </si>
  <si>
    <t>Chloe Ward</t>
  </si>
  <si>
    <t>Alex Young</t>
  </si>
  <si>
    <t>November</t>
  </si>
  <si>
    <t>Sophie Cook</t>
  </si>
  <si>
    <t>George Reed</t>
  </si>
  <si>
    <t>Victoria Cox</t>
  </si>
  <si>
    <t>Henry Ross</t>
  </si>
  <si>
    <t>December</t>
  </si>
  <si>
    <t>Emma Stone</t>
  </si>
  <si>
    <t>Michael Ford</t>
  </si>
  <si>
    <t>Natalie Cole</t>
  </si>
  <si>
    <t>Ben Adams</t>
  </si>
  <si>
    <t>Carla James</t>
  </si>
  <si>
    <t>Oliver Scott</t>
  </si>
  <si>
    <t>Grace Hill</t>
  </si>
  <si>
    <t>Samuel Reed</t>
  </si>
  <si>
    <t>Ella Turner</t>
  </si>
  <si>
    <t>Robert King</t>
  </si>
  <si>
    <t>Hannah Lee</t>
  </si>
  <si>
    <t>Jake Brown</t>
  </si>
  <si>
    <t>Lily Evans</t>
  </si>
  <si>
    <t>Daniel Price</t>
  </si>
  <si>
    <t>Mia Walker</t>
  </si>
  <si>
    <t>Noah Scott</t>
  </si>
  <si>
    <t>Ava Gray</t>
  </si>
  <si>
    <t>Jack Ward</t>
  </si>
  <si>
    <t>Lily Parker</t>
  </si>
  <si>
    <t>Oscar Hill</t>
  </si>
  <si>
    <t>Zoe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</si>
</sst>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10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1"/>
    <xf numFmtId="0" fontId="3" fillId="3" borderId="1" xfId="2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</cellXfs>
  <cellStyles count="3">
    <cellStyle name="Calculation" xfId="2" builtinId="22"/>
    <cellStyle name="Input" xfId="1" builtinId="20"/>
    <cellStyle name="Normal" xfId="0" builtinId="0"/>
  </cellStyles>
  <dxfs count="15">
    <dxf>
      <fill>
        <patternFill>
          <bgColor rgb="FF92D050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735865972223" createdVersion="8" refreshedVersion="8" minRefreshableVersion="3" recordCount="50" xr:uid="{DCD25B4C-E3D8-4A0D-843B-FE54B753209A}">
  <cacheSource type="worksheet">
    <worksheetSource name="siyavus"/>
  </cacheSource>
  <cacheFields count="14">
    <cacheField name="ID" numFmtId="0">
      <sharedItems containsSemiMixedTypes="0" containsString="0" containsNumber="1" containsInteger="1" minValue="1" maxValue="50"/>
    </cacheField>
    <cacheField name="Region" numFmtId="0">
      <sharedItems count="4">
        <s v="South"/>
        <s v="East"/>
        <s v="North"/>
        <s v="West"/>
      </sharedItems>
    </cacheField>
    <cacheField name="Salesperson" numFmtId="0">
      <sharedItems/>
    </cacheField>
    <cacheField name="Product" numFmtId="0">
      <sharedItems/>
    </cacheField>
    <cacheField name="Category" numFmtId="0">
      <sharedItems count="3">
        <s v="Electronics"/>
        <s v="Furniture"/>
        <s v="Office"/>
      </sharedItems>
    </cacheField>
    <cacheField name="Month" numFmtId="0">
      <sharedItems/>
    </cacheField>
    <cacheField name="Units_Sold" numFmtId="0">
      <sharedItems containsSemiMixedTypes="0" containsString="0" containsNumber="1" containsInteger="1" minValue="6" maxValue="30"/>
    </cacheField>
    <cacheField name="Unit_Price" numFmtId="0">
      <sharedItems containsSemiMixedTypes="0" containsString="0" containsNumber="1" containsInteger="1" minValue="120" maxValue="850"/>
    </cacheField>
    <cacheField name="Discount" numFmtId="0">
      <sharedItems/>
    </cacheField>
    <cacheField name="Revenue" numFmtId="0">
      <sharedItems containsSemiMixedTypes="0" containsString="0" containsNumber="1" minValue="864" maxValue="19760"/>
    </cacheField>
    <cacheField name="Customer_Segment" numFmtId="0">
      <sharedItems/>
    </cacheField>
    <cacheField name="Rating" numFmtId="0">
      <sharedItems containsSemiMixedTypes="0" containsString="0" containsNumber="1" minValue="3.5" maxValue="4.8"/>
    </cacheField>
    <cacheField name="Remarks" numFmtId="0">
      <sharedItems/>
    </cacheField>
    <cacheField name="RevenuePerItem" numFmtId="0" formula="Revenue/Units_Sol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x v="0"/>
    <s v="Carol"/>
    <s v="Monitor"/>
    <x v="0"/>
    <s v="Jun"/>
    <n v="8"/>
    <n v="120"/>
    <s v="10%"/>
    <n v="864"/>
    <s v="Corporate"/>
    <n v="3.9"/>
    <s v="late payment"/>
  </r>
  <r>
    <n v="2"/>
    <x v="0"/>
    <s v="David"/>
    <s v="Laptop"/>
    <x v="0"/>
    <s v="May"/>
    <n v="23"/>
    <n v="800"/>
    <s v="0%"/>
    <n v="18400"/>
    <s v="Education"/>
    <n v="3.5"/>
    <s v="good sale"/>
  </r>
  <r>
    <n v="3"/>
    <x v="1"/>
    <s v="Alice"/>
    <s v="Chair"/>
    <x v="1"/>
    <s v="Feb"/>
    <n v="11"/>
    <n v="800"/>
    <s v="0%"/>
    <n v="8800"/>
    <s v="Education"/>
    <n v="4.0999999999999996"/>
    <s v="loyal client"/>
  </r>
  <r>
    <n v="4"/>
    <x v="1"/>
    <s v="Bob"/>
    <s v="Printer"/>
    <x v="2"/>
    <s v="Jan"/>
    <n v="13"/>
    <n v="300"/>
    <s v="0%"/>
    <n v="3900"/>
    <s v="Retail"/>
    <n v="4.7"/>
    <s v="fast mover"/>
  </r>
  <r>
    <n v="5"/>
    <x v="2"/>
    <s v="Grace"/>
    <s v="Printer"/>
    <x v="2"/>
    <s v="Jan"/>
    <n v="16"/>
    <n v="370"/>
    <s v="0%"/>
    <n v="5920"/>
    <s v="Education"/>
    <n v="4.4000000000000004"/>
    <s v="regular order"/>
  </r>
  <r>
    <n v="6"/>
    <x v="2"/>
    <s v="Alice"/>
    <s v="Monitor"/>
    <x v="0"/>
    <s v="Jun"/>
    <n v="24"/>
    <n v="600"/>
    <s v="10%"/>
    <n v="12960"/>
    <s v="Corporate"/>
    <n v="3.7"/>
    <s v="regular order"/>
  </r>
  <r>
    <n v="7"/>
    <x v="1"/>
    <s v="Carol"/>
    <s v="Laptop"/>
    <x v="0"/>
    <s v="Mar"/>
    <n v="12"/>
    <n v="200"/>
    <s v="5%"/>
    <n v="2280"/>
    <s v="Retail"/>
    <n v="3.9"/>
    <s v="high demand"/>
  </r>
  <r>
    <n v="8"/>
    <x v="0"/>
    <s v="Carol"/>
    <s v="Monitor"/>
    <x v="0"/>
    <s v="Apr"/>
    <n v="13"/>
    <n v="200"/>
    <s v="10%"/>
    <n v="2340"/>
    <s v="Retail"/>
    <n v="4.3"/>
    <s v="regular order"/>
  </r>
  <r>
    <n v="9"/>
    <x v="2"/>
    <s v="David"/>
    <s v="Monitor"/>
    <x v="0"/>
    <s v="Jan"/>
    <n v="27"/>
    <n v="350"/>
    <s v="10%"/>
    <n v="8505"/>
    <s v="Retail"/>
    <n v="3.9"/>
    <s v="loyal client"/>
  </r>
  <r>
    <n v="10"/>
    <x v="1"/>
    <s v="David"/>
    <s v="Printer"/>
    <x v="2"/>
    <s v="Jun"/>
    <n v="7"/>
    <n v="350"/>
    <s v="10%"/>
    <n v="2205"/>
    <s v="Retail"/>
    <n v="4.5999999999999996"/>
    <s v="loyal client"/>
  </r>
  <r>
    <n v="11"/>
    <x v="1"/>
    <s v="Jane"/>
    <s v="Monitor"/>
    <x v="0"/>
    <s v="Apr"/>
    <n v="19"/>
    <n v="300"/>
    <s v="5%"/>
    <n v="5415"/>
    <s v="Education"/>
    <n v="3.7"/>
    <s v="loyal client"/>
  </r>
  <r>
    <n v="12"/>
    <x v="2"/>
    <s v="Bob"/>
    <s v="Printer"/>
    <x v="2"/>
    <s v="Feb"/>
    <n v="12"/>
    <n v="300"/>
    <s v="10%"/>
    <n v="3240"/>
    <s v="Education"/>
    <n v="4.0999999999999996"/>
    <s v="damaged box"/>
  </r>
  <r>
    <n v="13"/>
    <x v="3"/>
    <s v="Ian"/>
    <s v="Monitor"/>
    <x v="0"/>
    <s v="Mar"/>
    <n v="18"/>
    <n v="200"/>
    <s v="5%"/>
    <n v="3420"/>
    <s v="Education"/>
    <n v="4"/>
    <s v="good sale"/>
  </r>
  <r>
    <n v="14"/>
    <x v="1"/>
    <s v="Frank"/>
    <s v="Monitor"/>
    <x v="0"/>
    <s v="Jan"/>
    <n v="28"/>
    <n v="200"/>
    <s v="10%"/>
    <n v="5040"/>
    <s v="Retail"/>
    <n v="4.7"/>
    <s v="loyal client"/>
  </r>
  <r>
    <n v="15"/>
    <x v="1"/>
    <s v="Ian"/>
    <s v="Tablet"/>
    <x v="0"/>
    <s v="Feb"/>
    <n v="19"/>
    <n v="120"/>
    <s v="10%"/>
    <n v="2052"/>
    <s v="Education"/>
    <n v="4.5999999999999996"/>
    <s v="fast mover"/>
  </r>
  <r>
    <n v="16"/>
    <x v="0"/>
    <s v="Ian"/>
    <s v="Monitor"/>
    <x v="0"/>
    <s v="May"/>
    <n v="14"/>
    <n v="350"/>
    <s v="0%"/>
    <n v="4900"/>
    <s v="Corporate"/>
    <n v="4"/>
    <s v="fast delivery"/>
  </r>
  <r>
    <n v="17"/>
    <x v="1"/>
    <s v="David"/>
    <s v="Printer"/>
    <x v="2"/>
    <s v="Jan"/>
    <n v="20"/>
    <n v="120"/>
    <s v="0%"/>
    <n v="2400"/>
    <s v="Corporate"/>
    <n v="4.7"/>
    <s v="fast delivery"/>
  </r>
  <r>
    <n v="18"/>
    <x v="0"/>
    <s v="Carol"/>
    <s v="Laptop"/>
    <x v="0"/>
    <s v="Jun"/>
    <n v="7"/>
    <n v="850"/>
    <s v="0%"/>
    <n v="5950"/>
    <s v="Retail"/>
    <n v="4.8"/>
    <s v="late payment"/>
  </r>
  <r>
    <n v="19"/>
    <x v="0"/>
    <s v="Emma"/>
    <s v="Tablet"/>
    <x v="0"/>
    <s v="Apr"/>
    <n v="13"/>
    <n v="800"/>
    <s v="0%"/>
    <n v="10400"/>
    <s v="Education"/>
    <n v="4.7"/>
    <s v="steady buyer"/>
  </r>
  <r>
    <n v="20"/>
    <x v="2"/>
    <s v="Frank"/>
    <s v="Desk"/>
    <x v="1"/>
    <s v="Jan"/>
    <n v="21"/>
    <n v="850"/>
    <s v="0%"/>
    <n v="17850"/>
    <s v="Education"/>
    <n v="3.8"/>
    <s v="late payment"/>
  </r>
  <r>
    <n v="21"/>
    <x v="2"/>
    <s v="David"/>
    <s v="Tablet"/>
    <x v="0"/>
    <s v="Jan"/>
    <n v="23"/>
    <n v="350"/>
    <s v="0%"/>
    <n v="8050"/>
    <s v="Corporate"/>
    <n v="3.6"/>
    <s v="steady buyer"/>
  </r>
  <r>
    <n v="22"/>
    <x v="0"/>
    <s v="Ian"/>
    <s v="Laptop"/>
    <x v="0"/>
    <s v="Feb"/>
    <n v="21"/>
    <n v="350"/>
    <s v="5%"/>
    <n v="6982.5"/>
    <s v="Education"/>
    <n v="4.4000000000000004"/>
    <s v="fast delivery"/>
  </r>
  <r>
    <n v="23"/>
    <x v="0"/>
    <s v="Bob"/>
    <s v="Chair"/>
    <x v="1"/>
    <s v="Jan"/>
    <n v="20"/>
    <n v="350"/>
    <s v="5%"/>
    <n v="6650"/>
    <s v="Education"/>
    <n v="4.5"/>
    <s v="loyal client"/>
  </r>
  <r>
    <n v="24"/>
    <x v="2"/>
    <s v="Bob"/>
    <s v="Printer"/>
    <x v="2"/>
    <s v="Jan"/>
    <n v="18"/>
    <n v="800"/>
    <s v="5%"/>
    <n v="13680"/>
    <s v="Retail"/>
    <n v="4.5999999999999996"/>
    <s v="steady buyer"/>
  </r>
  <r>
    <n v="25"/>
    <x v="0"/>
    <s v="Grace"/>
    <s v="Laptop"/>
    <x v="0"/>
    <s v="Feb"/>
    <n v="12"/>
    <n v="350"/>
    <s v="0%"/>
    <n v="4200"/>
    <s v="Retail"/>
    <n v="4.2"/>
    <s v="new order"/>
  </r>
  <r>
    <n v="26"/>
    <x v="2"/>
    <s v="Bob"/>
    <s v="Tablet"/>
    <x v="0"/>
    <s v="Feb"/>
    <n v="7"/>
    <n v="850"/>
    <s v="10%"/>
    <n v="5355"/>
    <s v="Corporate"/>
    <n v="3.6"/>
    <s v="loyal client"/>
  </r>
  <r>
    <n v="27"/>
    <x v="0"/>
    <s v="Grace"/>
    <s v="Desk"/>
    <x v="1"/>
    <s v="Jan"/>
    <n v="20"/>
    <n v="350"/>
    <s v="5%"/>
    <n v="6650"/>
    <s v="Retail"/>
    <n v="4.7"/>
    <s v="regular order"/>
  </r>
  <r>
    <n v="28"/>
    <x v="3"/>
    <s v="Carol"/>
    <s v="Desk"/>
    <x v="1"/>
    <s v="Feb"/>
    <n v="14"/>
    <n v="800"/>
    <s v="10%"/>
    <n v="10080"/>
    <s v="Retail"/>
    <n v="4.7"/>
    <s v="high demand"/>
  </r>
  <r>
    <n v="29"/>
    <x v="2"/>
    <s v="Jane"/>
    <s v="Laptop"/>
    <x v="0"/>
    <s v="Apr"/>
    <n v="23"/>
    <n v="120"/>
    <s v="10%"/>
    <n v="2484"/>
    <s v="Education"/>
    <n v="3.9"/>
    <s v="late payment"/>
  </r>
  <r>
    <n v="30"/>
    <x v="2"/>
    <s v="David"/>
    <s v="Tablet"/>
    <x v="0"/>
    <s v="Apr"/>
    <n v="6"/>
    <n v="200"/>
    <s v="0%"/>
    <n v="1200"/>
    <s v="Corporate"/>
    <n v="3.6"/>
    <s v="fast delivery"/>
  </r>
  <r>
    <n v="31"/>
    <x v="1"/>
    <s v="Emma"/>
    <s v="Tablet"/>
    <x v="0"/>
    <s v="Feb"/>
    <n v="23"/>
    <n v="120"/>
    <s v="10%"/>
    <n v="2484"/>
    <s v="Education"/>
    <n v="3.6"/>
    <s v="steady buyer"/>
  </r>
  <r>
    <n v="32"/>
    <x v="1"/>
    <s v="Helen"/>
    <s v="Tablet"/>
    <x v="0"/>
    <s v="Mar"/>
    <n v="13"/>
    <n v="800"/>
    <s v="0%"/>
    <n v="10400"/>
    <s v="Corporate"/>
    <n v="4.4000000000000004"/>
    <s v="good sale"/>
  </r>
  <r>
    <n v="33"/>
    <x v="1"/>
    <s v="Carol"/>
    <s v="Desk"/>
    <x v="1"/>
    <s v="Mar"/>
    <n v="24"/>
    <n v="200"/>
    <s v="0%"/>
    <n v="4800"/>
    <s v="Corporate"/>
    <n v="4.2"/>
    <s v="high demand"/>
  </r>
  <r>
    <n v="34"/>
    <x v="1"/>
    <s v="Jane"/>
    <s v="Printer"/>
    <x v="2"/>
    <s v="Jun"/>
    <n v="14"/>
    <n v="300"/>
    <s v="5%"/>
    <n v="3990"/>
    <s v="Education"/>
    <n v="4.5999999999999996"/>
    <s v="good sale"/>
  </r>
  <r>
    <n v="35"/>
    <x v="0"/>
    <s v="Emma"/>
    <s v="Monitor"/>
    <x v="0"/>
    <s v="Jan"/>
    <n v="22"/>
    <n v="370"/>
    <s v="10%"/>
    <n v="7326"/>
    <s v="Corporate"/>
    <n v="3.6"/>
    <s v="late payment"/>
  </r>
  <r>
    <n v="36"/>
    <x v="1"/>
    <s v="David"/>
    <s v="Tablet"/>
    <x v="0"/>
    <s v="Jun"/>
    <n v="13"/>
    <n v="370"/>
    <s v="10%"/>
    <n v="4329"/>
    <s v="Education"/>
    <n v="3.8"/>
    <s v="regular order"/>
  </r>
  <r>
    <n v="37"/>
    <x v="3"/>
    <s v="Emma"/>
    <s v="Chair"/>
    <x v="1"/>
    <s v="Jan"/>
    <n v="20"/>
    <n v="370"/>
    <s v="0%"/>
    <n v="7400"/>
    <s v="Corporate"/>
    <n v="3.6"/>
    <s v="steady buyer"/>
  </r>
  <r>
    <n v="38"/>
    <x v="3"/>
    <s v="Ian"/>
    <s v="Tablet"/>
    <x v="0"/>
    <s v="Jan"/>
    <n v="25"/>
    <n v="370"/>
    <s v="0%"/>
    <n v="9250"/>
    <s v="Corporate"/>
    <n v="4.5"/>
    <s v="fast mover"/>
  </r>
  <r>
    <n v="39"/>
    <x v="0"/>
    <s v="Grace"/>
    <s v="Monitor"/>
    <x v="0"/>
    <s v="Feb"/>
    <n v="9"/>
    <n v="120"/>
    <s v="5%"/>
    <n v="1026"/>
    <s v="Corporate"/>
    <n v="4.3"/>
    <s v="regular order"/>
  </r>
  <r>
    <n v="40"/>
    <x v="0"/>
    <s v="Bob"/>
    <s v="Printer"/>
    <x v="2"/>
    <s v="Mar"/>
    <n v="30"/>
    <n v="120"/>
    <s v="5%"/>
    <n v="3420"/>
    <s v="Education"/>
    <n v="3.8"/>
    <s v="loyal client"/>
  </r>
  <r>
    <n v="41"/>
    <x v="0"/>
    <s v="Grace"/>
    <s v="Chair"/>
    <x v="1"/>
    <s v="Jan"/>
    <n v="28"/>
    <n v="300"/>
    <s v="0%"/>
    <n v="8400"/>
    <s v="Corporate"/>
    <n v="4.5999999999999996"/>
    <s v="steady buyer"/>
  </r>
  <r>
    <n v="42"/>
    <x v="2"/>
    <s v="Grace"/>
    <s v="Desk"/>
    <x v="1"/>
    <s v="Jan"/>
    <n v="30"/>
    <n v="350"/>
    <s v="5%"/>
    <n v="9975"/>
    <s v="Retail"/>
    <n v="3.7"/>
    <s v="high demand"/>
  </r>
  <r>
    <n v="43"/>
    <x v="0"/>
    <s v="David"/>
    <s v="Tablet"/>
    <x v="0"/>
    <s v="Jan"/>
    <n v="19"/>
    <n v="600"/>
    <s v="5%"/>
    <n v="10830"/>
    <s v="Education"/>
    <n v="4.5999999999999996"/>
    <s v="high demand"/>
  </r>
  <r>
    <n v="44"/>
    <x v="1"/>
    <s v="Frank"/>
    <s v="Desk"/>
    <x v="1"/>
    <s v="Jun"/>
    <n v="15"/>
    <n v="370"/>
    <s v="0%"/>
    <n v="5550"/>
    <s v="Education"/>
    <n v="4.8"/>
    <s v="loyal client"/>
  </r>
  <r>
    <n v="45"/>
    <x v="1"/>
    <s v="Carol"/>
    <s v="Monitor"/>
    <x v="0"/>
    <s v="May"/>
    <n v="22"/>
    <n v="600"/>
    <s v="0%"/>
    <n v="13200"/>
    <s v="Retail"/>
    <n v="3.6"/>
    <s v="good sale"/>
  </r>
  <r>
    <n v="46"/>
    <x v="1"/>
    <s v="Grace"/>
    <s v="Laptop"/>
    <x v="0"/>
    <s v="May"/>
    <n v="24"/>
    <n v="800"/>
    <s v="5%"/>
    <n v="18240"/>
    <s v="Education"/>
    <n v="4.4000000000000004"/>
    <s v="fast mover"/>
  </r>
  <r>
    <n v="47"/>
    <x v="3"/>
    <s v="Alice"/>
    <s v="Desk"/>
    <x v="1"/>
    <s v="May"/>
    <n v="23"/>
    <n v="350"/>
    <s v="5%"/>
    <n v="7647.5"/>
    <s v="Education"/>
    <n v="3.6"/>
    <s v="high demand"/>
  </r>
  <r>
    <n v="48"/>
    <x v="1"/>
    <s v="Bob"/>
    <s v="Printer"/>
    <x v="2"/>
    <s v="Jun"/>
    <n v="18"/>
    <n v="200"/>
    <s v="10%"/>
    <n v="3240"/>
    <s v="Retail"/>
    <n v="4.7"/>
    <s v="late payment"/>
  </r>
  <r>
    <n v="49"/>
    <x v="1"/>
    <s v="Ian"/>
    <s v="Printer"/>
    <x v="2"/>
    <s v="Feb"/>
    <n v="26"/>
    <n v="800"/>
    <s v="5%"/>
    <n v="19760"/>
    <s v="Corporate"/>
    <n v="4"/>
    <s v="loyal client"/>
  </r>
  <r>
    <n v="50"/>
    <x v="3"/>
    <s v="Ian"/>
    <s v="Monitor"/>
    <x v="0"/>
    <s v="Jan"/>
    <n v="17"/>
    <n v="300"/>
    <s v="10%"/>
    <n v="4590"/>
    <s v="Retail"/>
    <n v="4.2"/>
    <s v="regular ord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8547A-9DE7-4591-B416-0B73F1A0C28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14"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Revenue" fld="9" baseField="0" baseItem="0"/>
    <dataField name="Sum of RevenuePerItem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4F7C9-54B5-4B6E-9558-BD04300CD991}" name="siyavus" displayName="siyavus" ref="A1:M51" totalsRowShown="0" headerRowDxfId="14" headerRowBorderDxfId="13" tableBorderDxfId="12">
  <autoFilter ref="A1:M51" xr:uid="{9F04F7C9-54B5-4B6E-9558-BD04300CD991}"/>
  <tableColumns count="13">
    <tableColumn id="1" xr3:uid="{F14B85F3-3C71-492B-A5AE-DCE3485665C9}" name="ID"/>
    <tableColumn id="2" xr3:uid="{DEC8E039-D5AA-469F-80E9-C2F234D44DFA}" name="Region"/>
    <tableColumn id="3" xr3:uid="{08819913-EF3C-42C1-803D-B4FD58213AEF}" name="Salesperson"/>
    <tableColumn id="4" xr3:uid="{34205DDC-7DB4-49AB-90A6-302FC5BFF9CF}" name="Product"/>
    <tableColumn id="5" xr3:uid="{16CF0147-09F2-4954-83F6-D3B0266D7742}" name="Category"/>
    <tableColumn id="6" xr3:uid="{58F4DA74-50A7-4528-B9A1-EC48527A0961}" name="Month"/>
    <tableColumn id="7" xr3:uid="{0A1EDAF6-5002-47B5-8767-E04276762F8C}" name="Units_Sold"/>
    <tableColumn id="8" xr3:uid="{FDF57931-2387-4159-9A2F-9C8FF37F0D6A}" name="Unit_Price"/>
    <tableColumn id="9" xr3:uid="{84776C21-E209-4072-8049-33DC1F99ACFE}" name="Discount"/>
    <tableColumn id="10" xr3:uid="{72026582-C0F5-4B65-BA95-82A55B0C051B}" name="Revenue">
      <calculatedColumnFormula>G2*H2*(1-I2)</calculatedColumnFormula>
    </tableColumn>
    <tableColumn id="11" xr3:uid="{772A444B-27DC-4967-B45F-7600C961DB9A}" name="Customer_Segment"/>
    <tableColumn id="12" xr3:uid="{2204B06D-46FE-48CF-8EE5-6381F91C86C6}" name="Rating"/>
    <tableColumn id="13" xr3:uid="{74D1BABE-D3DD-4802-8537-1B70A248FBE8}" name="Remark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E0E04D-1348-478E-9593-9567B3568179}" name="main" displayName="main" ref="A1:I51" totalsRowShown="0" headerRowDxfId="11" dataDxfId="10">
  <autoFilter ref="A1:I51" xr:uid="{5EE0E04D-1348-478E-9593-9567B3568179}"/>
  <tableColumns count="9">
    <tableColumn id="1" xr3:uid="{B93602CD-51C8-4957-AF07-DA2FF1E3768A}" name="Employee" dataDxfId="9"/>
    <tableColumn id="2" xr3:uid="{F3F7DE36-6DFC-4168-AE3E-7366186097AA}" name="Department" dataDxfId="8"/>
    <tableColumn id="3" xr3:uid="{5F7E22E0-300A-4AA4-BAF4-40E0E1ECAACB}" name="Region" dataDxfId="7"/>
    <tableColumn id="4" xr3:uid="{71D0F31E-456B-4FD0-8C91-09FBB2AFE837}" name="Product" dataDxfId="6"/>
    <tableColumn id="5" xr3:uid="{D8473E7E-D01F-4F66-BC43-8596D37ECB76}" name="Units_Sold" dataDxfId="5"/>
    <tableColumn id="6" xr3:uid="{60A5802E-0DB2-4ED2-850E-ACE66A2AFF16}" name="Revenue" dataDxfId="4"/>
    <tableColumn id="7" xr3:uid="{D38B3C2C-EA8D-49C2-A94A-8768BD726BEC}" name="Customer_Segment" dataDxfId="3"/>
    <tableColumn id="8" xr3:uid="{194B5DA1-194A-4FB1-B4CE-24C967F611CF}" name="Month" dataDxfId="2"/>
    <tableColumn id="9" xr3:uid="{BE0FC8E2-8613-464A-A308-EF6966F7BCC3}" name="Rating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432F-1675-42DF-80E8-0755B37907A0}">
  <dimension ref="A3:I10"/>
  <sheetViews>
    <sheetView topLeftCell="D1" workbookViewId="0">
      <selection activeCell="G9" sqref="G9"/>
    </sheetView>
  </sheetViews>
  <sheetFormatPr defaultRowHeight="14.4"/>
  <cols>
    <col min="1" max="1" width="12.33203125" bestFit="1" customWidth="1"/>
    <col min="2" max="2" width="15.21875" bestFit="1" customWidth="1"/>
    <col min="3" max="3" width="21.21875" bestFit="1" customWidth="1"/>
    <col min="4" max="4" width="14.33203125" bestFit="1" customWidth="1"/>
    <col min="5" max="5" width="21.21875" bestFit="1" customWidth="1"/>
    <col min="6" max="6" width="14.33203125" bestFit="1" customWidth="1"/>
    <col min="7" max="7" width="21.21875" bestFit="1" customWidth="1"/>
    <col min="8" max="8" width="19.21875" bestFit="1" customWidth="1"/>
    <col min="9" max="9" width="26.109375" bestFit="1" customWidth="1"/>
  </cols>
  <sheetData>
    <row r="3" spans="1:9">
      <c r="B3" s="3" t="s">
        <v>60</v>
      </c>
    </row>
    <row r="4" spans="1:9">
      <c r="B4" t="s">
        <v>33</v>
      </c>
      <c r="D4" t="s">
        <v>34</v>
      </c>
      <c r="F4" t="s">
        <v>35</v>
      </c>
      <c r="H4" t="s">
        <v>62</v>
      </c>
      <c r="I4" t="s">
        <v>63</v>
      </c>
    </row>
    <row r="5" spans="1:9">
      <c r="A5" s="3" t="s">
        <v>58</v>
      </c>
      <c r="B5" t="s">
        <v>61</v>
      </c>
      <c r="C5" t="s">
        <v>64</v>
      </c>
      <c r="D5" t="s">
        <v>61</v>
      </c>
      <c r="E5" t="s">
        <v>64</v>
      </c>
      <c r="F5" t="s">
        <v>61</v>
      </c>
      <c r="G5" t="s">
        <v>64</v>
      </c>
    </row>
    <row r="6" spans="1:9">
      <c r="A6" s="4" t="s">
        <v>14</v>
      </c>
      <c r="B6">
        <v>63440</v>
      </c>
      <c r="C6">
        <v>366.70520231213874</v>
      </c>
      <c r="D6">
        <v>19150</v>
      </c>
      <c r="E6">
        <v>383</v>
      </c>
      <c r="F6">
        <v>35495</v>
      </c>
      <c r="G6">
        <v>362.19387755102042</v>
      </c>
      <c r="H6">
        <v>118085</v>
      </c>
      <c r="I6">
        <v>367.86604361370718</v>
      </c>
    </row>
    <row r="7" spans="1:9">
      <c r="A7" s="4" t="s">
        <v>15</v>
      </c>
      <c r="B7">
        <v>38554</v>
      </c>
      <c r="C7">
        <v>350.4909090909091</v>
      </c>
      <c r="D7">
        <v>27825</v>
      </c>
      <c r="E7">
        <v>545.58823529411768</v>
      </c>
      <c r="F7">
        <v>22840</v>
      </c>
      <c r="G7">
        <v>496.52173913043481</v>
      </c>
      <c r="H7">
        <v>89219</v>
      </c>
      <c r="I7">
        <v>431.00966183574877</v>
      </c>
    </row>
    <row r="8" spans="1:9">
      <c r="A8" s="4" t="s">
        <v>13</v>
      </c>
      <c r="B8">
        <v>73218.5</v>
      </c>
      <c r="C8">
        <v>454.77329192546586</v>
      </c>
      <c r="D8">
        <v>21700</v>
      </c>
      <c r="E8">
        <v>319.11764705882354</v>
      </c>
      <c r="F8">
        <v>3420</v>
      </c>
      <c r="G8">
        <v>114</v>
      </c>
      <c r="H8">
        <v>98338.5</v>
      </c>
      <c r="I8">
        <v>379.68532818532816</v>
      </c>
    </row>
    <row r="9" spans="1:9">
      <c r="A9" s="4" t="s">
        <v>16</v>
      </c>
      <c r="B9">
        <v>17260</v>
      </c>
      <c r="C9">
        <v>287.66666666666669</v>
      </c>
      <c r="D9">
        <v>25127.5</v>
      </c>
      <c r="E9">
        <v>440.83333333333331</v>
      </c>
      <c r="G9" t="e">
        <v>#DIV/0!</v>
      </c>
      <c r="H9">
        <v>42387.5</v>
      </c>
      <c r="I9">
        <v>362.28632478632477</v>
      </c>
    </row>
    <row r="10" spans="1:9">
      <c r="A10" s="4" t="s">
        <v>59</v>
      </c>
      <c r="B10">
        <v>192472.5</v>
      </c>
      <c r="C10">
        <v>381.88988095238096</v>
      </c>
      <c r="D10">
        <v>93802.5</v>
      </c>
      <c r="E10">
        <v>415.05530973451329</v>
      </c>
      <c r="F10">
        <v>61755</v>
      </c>
      <c r="G10">
        <v>354.91379310344826</v>
      </c>
      <c r="H10">
        <v>348030</v>
      </c>
      <c r="I10">
        <v>384.98893805309734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J2" sqref="J2"/>
    </sheetView>
  </sheetViews>
  <sheetFormatPr defaultRowHeight="14.4"/>
  <cols>
    <col min="3" max="3" width="12.77734375" customWidth="1"/>
    <col min="4" max="4" width="9.44140625" customWidth="1"/>
    <col min="5" max="5" width="10.21875" customWidth="1"/>
    <col min="7" max="7" width="11.77734375" customWidth="1"/>
    <col min="8" max="8" width="11.44140625" customWidth="1"/>
    <col min="9" max="9" width="10.21875" customWidth="1"/>
    <col min="10" max="10" width="10" customWidth="1"/>
    <col min="11" max="11" width="19.21875" customWidth="1"/>
    <col min="13" max="13" width="12.109375" bestFit="1" customWidth="1"/>
    <col min="15" max="15" width="15.21875" bestFit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O1" s="1" t="s">
        <v>28</v>
      </c>
    </row>
    <row r="2" spans="1:17">
      <c r="A2">
        <v>1</v>
      </c>
      <c r="B2" t="s">
        <v>13</v>
      </c>
      <c r="C2" t="s">
        <v>17</v>
      </c>
      <c r="D2" t="s">
        <v>27</v>
      </c>
      <c r="E2" t="s">
        <v>33</v>
      </c>
      <c r="F2" t="s">
        <v>36</v>
      </c>
      <c r="G2">
        <v>8</v>
      </c>
      <c r="H2">
        <v>120</v>
      </c>
      <c r="I2" t="s">
        <v>42</v>
      </c>
      <c r="J2">
        <f>G2*H2*(1-I2)</f>
        <v>864</v>
      </c>
      <c r="K2" t="s">
        <v>45</v>
      </c>
      <c r="L2">
        <v>3.9</v>
      </c>
      <c r="M2" t="s">
        <v>48</v>
      </c>
      <c r="Q2" t="str" cm="1">
        <f t="array" ref="Q2">INDEX(I2:I51, MATCH(1, (C2:C51="Bob")*(D2:D51="Printer"), 0))</f>
        <v>0%</v>
      </c>
    </row>
    <row r="3" spans="1:17">
      <c r="A3">
        <v>2</v>
      </c>
      <c r="B3" t="s">
        <v>13</v>
      </c>
      <c r="C3" t="s">
        <v>18</v>
      </c>
      <c r="D3" t="s">
        <v>28</v>
      </c>
      <c r="E3" t="s">
        <v>33</v>
      </c>
      <c r="F3" t="s">
        <v>37</v>
      </c>
      <c r="G3">
        <v>23</v>
      </c>
      <c r="H3">
        <v>800</v>
      </c>
      <c r="I3" t="s">
        <v>43</v>
      </c>
      <c r="J3">
        <f t="shared" ref="J3:J51" si="0">G3*H3*(1-I3)</f>
        <v>18400</v>
      </c>
      <c r="K3" t="s">
        <v>46</v>
      </c>
      <c r="L3">
        <v>3.5</v>
      </c>
      <c r="M3" t="s">
        <v>49</v>
      </c>
      <c r="O3">
        <f>_xlfn.IFNA(VLOOKUP(O1,D2:M51,5,0),"not found")</f>
        <v>800</v>
      </c>
    </row>
    <row r="4" spans="1:17">
      <c r="A4">
        <v>3</v>
      </c>
      <c r="B4" t="s">
        <v>14</v>
      </c>
      <c r="C4" t="s">
        <v>19</v>
      </c>
      <c r="D4" t="s">
        <v>29</v>
      </c>
      <c r="E4" t="s">
        <v>34</v>
      </c>
      <c r="F4" t="s">
        <v>38</v>
      </c>
      <c r="G4">
        <v>11</v>
      </c>
      <c r="H4">
        <v>800</v>
      </c>
      <c r="I4" t="s">
        <v>43</v>
      </c>
      <c r="J4">
        <f t="shared" si="0"/>
        <v>8800</v>
      </c>
      <c r="K4" t="s">
        <v>46</v>
      </c>
      <c r="L4">
        <v>4.0999999999999996</v>
      </c>
      <c r="M4" t="s">
        <v>50</v>
      </c>
    </row>
    <row r="5" spans="1:17">
      <c r="A5">
        <v>4</v>
      </c>
      <c r="B5" t="s">
        <v>14</v>
      </c>
      <c r="C5" t="s">
        <v>20</v>
      </c>
      <c r="D5" t="s">
        <v>30</v>
      </c>
      <c r="E5" t="s">
        <v>35</v>
      </c>
      <c r="F5" t="s">
        <v>39</v>
      </c>
      <c r="G5">
        <v>13</v>
      </c>
      <c r="H5">
        <v>300</v>
      </c>
      <c r="I5" t="s">
        <v>43</v>
      </c>
      <c r="J5">
        <f t="shared" si="0"/>
        <v>3900</v>
      </c>
      <c r="K5" t="s">
        <v>47</v>
      </c>
      <c r="L5">
        <v>4.7</v>
      </c>
      <c r="M5" t="s">
        <v>51</v>
      </c>
    </row>
    <row r="6" spans="1:17">
      <c r="A6">
        <v>5</v>
      </c>
      <c r="B6" t="s">
        <v>15</v>
      </c>
      <c r="C6" t="s">
        <v>21</v>
      </c>
      <c r="D6" t="s">
        <v>30</v>
      </c>
      <c r="E6" t="s">
        <v>35</v>
      </c>
      <c r="F6" t="s">
        <v>39</v>
      </c>
      <c r="G6">
        <v>16</v>
      </c>
      <c r="H6">
        <v>370</v>
      </c>
      <c r="I6" t="s">
        <v>43</v>
      </c>
      <c r="J6">
        <f t="shared" si="0"/>
        <v>5920</v>
      </c>
      <c r="K6" t="s">
        <v>46</v>
      </c>
      <c r="L6">
        <v>4.4000000000000004</v>
      </c>
      <c r="M6" t="s">
        <v>52</v>
      </c>
    </row>
    <row r="7" spans="1:17">
      <c r="A7">
        <v>6</v>
      </c>
      <c r="B7" t="s">
        <v>15</v>
      </c>
      <c r="C7" t="s">
        <v>19</v>
      </c>
      <c r="D7" t="s">
        <v>27</v>
      </c>
      <c r="E7" t="s">
        <v>33</v>
      </c>
      <c r="F7" t="s">
        <v>36</v>
      </c>
      <c r="G7">
        <v>24</v>
      </c>
      <c r="H7">
        <v>600</v>
      </c>
      <c r="I7" t="s">
        <v>42</v>
      </c>
      <c r="J7">
        <f t="shared" si="0"/>
        <v>12960</v>
      </c>
      <c r="K7" t="s">
        <v>45</v>
      </c>
      <c r="L7">
        <v>3.7</v>
      </c>
      <c r="M7" t="s">
        <v>52</v>
      </c>
      <c r="O7">
        <f>COUNTIF(Product,"Tablet")</f>
        <v>10</v>
      </c>
    </row>
    <row r="8" spans="1:17">
      <c r="A8">
        <v>7</v>
      </c>
      <c r="B8" t="s">
        <v>14</v>
      </c>
      <c r="C8" t="s">
        <v>17</v>
      </c>
      <c r="D8" t="s">
        <v>28</v>
      </c>
      <c r="E8" t="s">
        <v>33</v>
      </c>
      <c r="F8" t="s">
        <v>40</v>
      </c>
      <c r="G8">
        <v>12</v>
      </c>
      <c r="H8">
        <v>200</v>
      </c>
      <c r="I8" t="s">
        <v>44</v>
      </c>
      <c r="J8">
        <f t="shared" si="0"/>
        <v>2280</v>
      </c>
      <c r="K8" t="s">
        <v>47</v>
      </c>
      <c r="L8">
        <v>3.9</v>
      </c>
      <c r="M8" t="s">
        <v>53</v>
      </c>
      <c r="O8" s="5" t="s">
        <v>65</v>
      </c>
    </row>
    <row r="9" spans="1:17">
      <c r="A9">
        <v>8</v>
      </c>
      <c r="B9" t="s">
        <v>13</v>
      </c>
      <c r="C9" t="s">
        <v>17</v>
      </c>
      <c r="D9" t="s">
        <v>27</v>
      </c>
      <c r="E9" t="s">
        <v>33</v>
      </c>
      <c r="F9" t="s">
        <v>41</v>
      </c>
      <c r="G9">
        <v>13</v>
      </c>
      <c r="H9">
        <v>200</v>
      </c>
      <c r="I9" t="s">
        <v>42</v>
      </c>
      <c r="J9">
        <f t="shared" si="0"/>
        <v>2340</v>
      </c>
      <c r="K9" t="s">
        <v>47</v>
      </c>
      <c r="L9">
        <v>4.3</v>
      </c>
      <c r="M9" t="s">
        <v>52</v>
      </c>
      <c r="O9" s="6">
        <f>AVERAGE(Revenue)</f>
        <v>6960.6</v>
      </c>
    </row>
    <row r="10" spans="1:17">
      <c r="A10">
        <v>9</v>
      </c>
      <c r="B10" t="s">
        <v>15</v>
      </c>
      <c r="C10" t="s">
        <v>18</v>
      </c>
      <c r="D10" t="s">
        <v>27</v>
      </c>
      <c r="E10" t="s">
        <v>33</v>
      </c>
      <c r="F10" t="s">
        <v>39</v>
      </c>
      <c r="G10">
        <v>27</v>
      </c>
      <c r="H10">
        <v>350</v>
      </c>
      <c r="I10" t="s">
        <v>42</v>
      </c>
      <c r="J10">
        <f t="shared" si="0"/>
        <v>8505</v>
      </c>
      <c r="K10" t="s">
        <v>47</v>
      </c>
      <c r="L10">
        <v>3.9</v>
      </c>
      <c r="M10" t="s">
        <v>50</v>
      </c>
    </row>
    <row r="11" spans="1:17">
      <c r="A11">
        <v>10</v>
      </c>
      <c r="B11" t="s">
        <v>14</v>
      </c>
      <c r="C11" t="s">
        <v>18</v>
      </c>
      <c r="D11" t="s">
        <v>30</v>
      </c>
      <c r="E11" t="s">
        <v>35</v>
      </c>
      <c r="F11" t="s">
        <v>36</v>
      </c>
      <c r="G11">
        <v>7</v>
      </c>
      <c r="H11">
        <v>350</v>
      </c>
      <c r="I11" t="s">
        <v>42</v>
      </c>
      <c r="J11">
        <f t="shared" si="0"/>
        <v>2205</v>
      </c>
      <c r="K11" t="s">
        <v>47</v>
      </c>
      <c r="L11">
        <v>4.5999999999999996</v>
      </c>
      <c r="M11" t="s">
        <v>50</v>
      </c>
    </row>
    <row r="12" spans="1:17">
      <c r="A12">
        <v>11</v>
      </c>
      <c r="B12" t="s">
        <v>14</v>
      </c>
      <c r="C12" t="s">
        <v>22</v>
      </c>
      <c r="D12" t="s">
        <v>27</v>
      </c>
      <c r="E12" t="s">
        <v>33</v>
      </c>
      <c r="F12" t="s">
        <v>41</v>
      </c>
      <c r="G12">
        <v>19</v>
      </c>
      <c r="H12">
        <v>300</v>
      </c>
      <c r="I12" t="s">
        <v>44</v>
      </c>
      <c r="J12">
        <f t="shared" si="0"/>
        <v>5415</v>
      </c>
      <c r="K12" t="s">
        <v>46</v>
      </c>
      <c r="L12">
        <v>3.7</v>
      </c>
      <c r="M12" t="s">
        <v>50</v>
      </c>
    </row>
    <row r="13" spans="1:17">
      <c r="A13">
        <v>12</v>
      </c>
      <c r="B13" t="s">
        <v>15</v>
      </c>
      <c r="C13" t="s">
        <v>20</v>
      </c>
      <c r="D13" t="s">
        <v>30</v>
      </c>
      <c r="E13" t="s">
        <v>35</v>
      </c>
      <c r="F13" t="s">
        <v>38</v>
      </c>
      <c r="G13">
        <v>12</v>
      </c>
      <c r="H13">
        <v>300</v>
      </c>
      <c r="I13" t="s">
        <v>42</v>
      </c>
      <c r="J13">
        <f t="shared" si="0"/>
        <v>3240</v>
      </c>
      <c r="K13" t="s">
        <v>46</v>
      </c>
      <c r="L13">
        <v>4.0999999999999996</v>
      </c>
      <c r="M13" t="s">
        <v>54</v>
      </c>
    </row>
    <row r="14" spans="1:17">
      <c r="A14">
        <v>13</v>
      </c>
      <c r="B14" t="s">
        <v>16</v>
      </c>
      <c r="C14" t="s">
        <v>23</v>
      </c>
      <c r="D14" t="s">
        <v>27</v>
      </c>
      <c r="E14" t="s">
        <v>33</v>
      </c>
      <c r="F14" t="s">
        <v>40</v>
      </c>
      <c r="G14">
        <v>18</v>
      </c>
      <c r="H14">
        <v>200</v>
      </c>
      <c r="I14" t="s">
        <v>44</v>
      </c>
      <c r="J14">
        <f t="shared" si="0"/>
        <v>3420</v>
      </c>
      <c r="K14" t="s">
        <v>46</v>
      </c>
      <c r="L14">
        <v>4</v>
      </c>
      <c r="M14" t="s">
        <v>49</v>
      </c>
    </row>
    <row r="15" spans="1:17">
      <c r="A15">
        <v>14</v>
      </c>
      <c r="B15" t="s">
        <v>14</v>
      </c>
      <c r="C15" t="s">
        <v>24</v>
      </c>
      <c r="D15" t="s">
        <v>27</v>
      </c>
      <c r="E15" t="s">
        <v>33</v>
      </c>
      <c r="F15" t="s">
        <v>39</v>
      </c>
      <c r="G15">
        <v>28</v>
      </c>
      <c r="H15">
        <v>200</v>
      </c>
      <c r="I15" t="s">
        <v>42</v>
      </c>
      <c r="J15">
        <f t="shared" si="0"/>
        <v>5040</v>
      </c>
      <c r="K15" t="s">
        <v>47</v>
      </c>
      <c r="L15">
        <v>4.7</v>
      </c>
      <c r="M15" t="s">
        <v>50</v>
      </c>
    </row>
    <row r="16" spans="1:17">
      <c r="A16">
        <v>15</v>
      </c>
      <c r="B16" t="s">
        <v>14</v>
      </c>
      <c r="C16" t="s">
        <v>23</v>
      </c>
      <c r="D16" t="s">
        <v>31</v>
      </c>
      <c r="E16" t="s">
        <v>33</v>
      </c>
      <c r="F16" t="s">
        <v>38</v>
      </c>
      <c r="G16">
        <v>19</v>
      </c>
      <c r="H16">
        <v>120</v>
      </c>
      <c r="I16" t="s">
        <v>42</v>
      </c>
      <c r="J16">
        <f t="shared" si="0"/>
        <v>2052</v>
      </c>
      <c r="K16" t="s">
        <v>46</v>
      </c>
      <c r="L16">
        <v>4.5999999999999996</v>
      </c>
      <c r="M16" t="s">
        <v>51</v>
      </c>
    </row>
    <row r="17" spans="1:13">
      <c r="A17">
        <v>16</v>
      </c>
      <c r="B17" t="s">
        <v>13</v>
      </c>
      <c r="C17" t="s">
        <v>23</v>
      </c>
      <c r="D17" t="s">
        <v>27</v>
      </c>
      <c r="E17" t="s">
        <v>33</v>
      </c>
      <c r="F17" t="s">
        <v>37</v>
      </c>
      <c r="G17">
        <v>14</v>
      </c>
      <c r="H17">
        <v>350</v>
      </c>
      <c r="I17" t="s">
        <v>43</v>
      </c>
      <c r="J17">
        <f t="shared" si="0"/>
        <v>4900</v>
      </c>
      <c r="K17" t="s">
        <v>45</v>
      </c>
      <c r="L17">
        <v>4</v>
      </c>
      <c r="M17" t="s">
        <v>55</v>
      </c>
    </row>
    <row r="18" spans="1:13">
      <c r="A18">
        <v>17</v>
      </c>
      <c r="B18" t="s">
        <v>14</v>
      </c>
      <c r="C18" t="s">
        <v>18</v>
      </c>
      <c r="D18" t="s">
        <v>30</v>
      </c>
      <c r="E18" t="s">
        <v>35</v>
      </c>
      <c r="F18" t="s">
        <v>39</v>
      </c>
      <c r="G18">
        <v>20</v>
      </c>
      <c r="H18">
        <v>120</v>
      </c>
      <c r="I18" t="s">
        <v>43</v>
      </c>
      <c r="J18">
        <f t="shared" si="0"/>
        <v>2400</v>
      </c>
      <c r="K18" t="s">
        <v>45</v>
      </c>
      <c r="L18">
        <v>4.7</v>
      </c>
      <c r="M18" t="s">
        <v>55</v>
      </c>
    </row>
    <row r="19" spans="1:13">
      <c r="A19">
        <v>18</v>
      </c>
      <c r="B19" t="s">
        <v>13</v>
      </c>
      <c r="C19" t="s">
        <v>17</v>
      </c>
      <c r="D19" t="s">
        <v>28</v>
      </c>
      <c r="E19" t="s">
        <v>33</v>
      </c>
      <c r="F19" t="s">
        <v>36</v>
      </c>
      <c r="G19">
        <v>7</v>
      </c>
      <c r="H19">
        <v>850</v>
      </c>
      <c r="I19" t="s">
        <v>43</v>
      </c>
      <c r="J19">
        <f t="shared" si="0"/>
        <v>5950</v>
      </c>
      <c r="K19" t="s">
        <v>47</v>
      </c>
      <c r="L19">
        <v>4.8</v>
      </c>
      <c r="M19" t="s">
        <v>48</v>
      </c>
    </row>
    <row r="20" spans="1:13">
      <c r="A20">
        <v>19</v>
      </c>
      <c r="B20" t="s">
        <v>13</v>
      </c>
      <c r="C20" t="s">
        <v>25</v>
      </c>
      <c r="D20" t="s">
        <v>31</v>
      </c>
      <c r="E20" t="s">
        <v>33</v>
      </c>
      <c r="F20" t="s">
        <v>41</v>
      </c>
      <c r="G20">
        <v>13</v>
      </c>
      <c r="H20">
        <v>800</v>
      </c>
      <c r="I20" t="s">
        <v>43</v>
      </c>
      <c r="J20">
        <f t="shared" si="0"/>
        <v>10400</v>
      </c>
      <c r="K20" t="s">
        <v>46</v>
      </c>
      <c r="L20">
        <v>4.7</v>
      </c>
      <c r="M20" t="s">
        <v>56</v>
      </c>
    </row>
    <row r="21" spans="1:13">
      <c r="A21">
        <v>20</v>
      </c>
      <c r="B21" t="s">
        <v>15</v>
      </c>
      <c r="C21" t="s">
        <v>24</v>
      </c>
      <c r="D21" t="s">
        <v>32</v>
      </c>
      <c r="E21" t="s">
        <v>34</v>
      </c>
      <c r="F21" t="s">
        <v>39</v>
      </c>
      <c r="G21">
        <v>21</v>
      </c>
      <c r="H21">
        <v>850</v>
      </c>
      <c r="I21" t="s">
        <v>43</v>
      </c>
      <c r="J21">
        <f t="shared" si="0"/>
        <v>17850</v>
      </c>
      <c r="K21" t="s">
        <v>46</v>
      </c>
      <c r="L21">
        <v>3.8</v>
      </c>
      <c r="M21" t="s">
        <v>48</v>
      </c>
    </row>
    <row r="22" spans="1:13">
      <c r="A22">
        <v>21</v>
      </c>
      <c r="B22" t="s">
        <v>15</v>
      </c>
      <c r="C22" t="s">
        <v>18</v>
      </c>
      <c r="D22" t="s">
        <v>31</v>
      </c>
      <c r="E22" t="s">
        <v>33</v>
      </c>
      <c r="F22" t="s">
        <v>39</v>
      </c>
      <c r="G22">
        <v>23</v>
      </c>
      <c r="H22">
        <v>350</v>
      </c>
      <c r="I22" t="s">
        <v>43</v>
      </c>
      <c r="J22">
        <f t="shared" si="0"/>
        <v>8050</v>
      </c>
      <c r="K22" t="s">
        <v>45</v>
      </c>
      <c r="L22">
        <v>3.6</v>
      </c>
      <c r="M22" t="s">
        <v>56</v>
      </c>
    </row>
    <row r="23" spans="1:13">
      <c r="A23">
        <v>22</v>
      </c>
      <c r="B23" t="s">
        <v>13</v>
      </c>
      <c r="C23" t="s">
        <v>23</v>
      </c>
      <c r="D23" t="s">
        <v>28</v>
      </c>
      <c r="E23" t="s">
        <v>33</v>
      </c>
      <c r="F23" t="s">
        <v>38</v>
      </c>
      <c r="G23">
        <v>21</v>
      </c>
      <c r="H23">
        <v>350</v>
      </c>
      <c r="I23" t="s">
        <v>44</v>
      </c>
      <c r="J23">
        <f t="shared" si="0"/>
        <v>6982.5</v>
      </c>
      <c r="K23" t="s">
        <v>46</v>
      </c>
      <c r="L23">
        <v>4.4000000000000004</v>
      </c>
      <c r="M23" t="s">
        <v>55</v>
      </c>
    </row>
    <row r="24" spans="1:13">
      <c r="A24">
        <v>23</v>
      </c>
      <c r="B24" t="s">
        <v>13</v>
      </c>
      <c r="C24" t="s">
        <v>20</v>
      </c>
      <c r="D24" t="s">
        <v>29</v>
      </c>
      <c r="E24" t="s">
        <v>34</v>
      </c>
      <c r="F24" t="s">
        <v>39</v>
      </c>
      <c r="G24">
        <v>20</v>
      </c>
      <c r="H24">
        <v>350</v>
      </c>
      <c r="I24" t="s">
        <v>44</v>
      </c>
      <c r="J24">
        <f t="shared" si="0"/>
        <v>6650</v>
      </c>
      <c r="K24" t="s">
        <v>46</v>
      </c>
      <c r="L24">
        <v>4.5</v>
      </c>
      <c r="M24" t="s">
        <v>50</v>
      </c>
    </row>
    <row r="25" spans="1:13">
      <c r="A25">
        <v>24</v>
      </c>
      <c r="B25" t="s">
        <v>15</v>
      </c>
      <c r="C25" t="s">
        <v>20</v>
      </c>
      <c r="D25" t="s">
        <v>30</v>
      </c>
      <c r="E25" t="s">
        <v>35</v>
      </c>
      <c r="F25" t="s">
        <v>39</v>
      </c>
      <c r="G25">
        <v>18</v>
      </c>
      <c r="H25">
        <v>800</v>
      </c>
      <c r="I25" t="s">
        <v>44</v>
      </c>
      <c r="J25">
        <f t="shared" si="0"/>
        <v>13680</v>
      </c>
      <c r="K25" t="s">
        <v>47</v>
      </c>
      <c r="L25">
        <v>4.5999999999999996</v>
      </c>
      <c r="M25" t="s">
        <v>56</v>
      </c>
    </row>
    <row r="26" spans="1:13">
      <c r="A26">
        <v>25</v>
      </c>
      <c r="B26" t="s">
        <v>13</v>
      </c>
      <c r="C26" t="s">
        <v>21</v>
      </c>
      <c r="D26" t="s">
        <v>28</v>
      </c>
      <c r="E26" t="s">
        <v>33</v>
      </c>
      <c r="F26" t="s">
        <v>38</v>
      </c>
      <c r="G26">
        <v>12</v>
      </c>
      <c r="H26">
        <v>350</v>
      </c>
      <c r="I26" t="s">
        <v>43</v>
      </c>
      <c r="J26">
        <f t="shared" si="0"/>
        <v>4200</v>
      </c>
      <c r="K26" t="s">
        <v>47</v>
      </c>
      <c r="L26">
        <v>4.2</v>
      </c>
      <c r="M26" t="s">
        <v>57</v>
      </c>
    </row>
    <row r="27" spans="1:13">
      <c r="A27">
        <v>26</v>
      </c>
      <c r="B27" t="s">
        <v>15</v>
      </c>
      <c r="C27" t="s">
        <v>20</v>
      </c>
      <c r="D27" t="s">
        <v>31</v>
      </c>
      <c r="E27" t="s">
        <v>33</v>
      </c>
      <c r="F27" t="s">
        <v>38</v>
      </c>
      <c r="G27">
        <v>7</v>
      </c>
      <c r="H27">
        <v>850</v>
      </c>
      <c r="I27" t="s">
        <v>42</v>
      </c>
      <c r="J27">
        <f t="shared" si="0"/>
        <v>5355</v>
      </c>
      <c r="K27" t="s">
        <v>45</v>
      </c>
      <c r="L27">
        <v>3.6</v>
      </c>
      <c r="M27" t="s">
        <v>50</v>
      </c>
    </row>
    <row r="28" spans="1:13">
      <c r="A28">
        <v>27</v>
      </c>
      <c r="B28" t="s">
        <v>13</v>
      </c>
      <c r="C28" t="s">
        <v>21</v>
      </c>
      <c r="D28" t="s">
        <v>32</v>
      </c>
      <c r="E28" t="s">
        <v>34</v>
      </c>
      <c r="F28" t="s">
        <v>39</v>
      </c>
      <c r="G28">
        <v>20</v>
      </c>
      <c r="H28">
        <v>350</v>
      </c>
      <c r="I28" t="s">
        <v>44</v>
      </c>
      <c r="J28">
        <f t="shared" si="0"/>
        <v>6650</v>
      </c>
      <c r="K28" t="s">
        <v>47</v>
      </c>
      <c r="L28">
        <v>4.7</v>
      </c>
      <c r="M28" t="s">
        <v>52</v>
      </c>
    </row>
    <row r="29" spans="1:13">
      <c r="A29">
        <v>28</v>
      </c>
      <c r="B29" t="s">
        <v>16</v>
      </c>
      <c r="C29" t="s">
        <v>17</v>
      </c>
      <c r="D29" t="s">
        <v>32</v>
      </c>
      <c r="E29" t="s">
        <v>34</v>
      </c>
      <c r="F29" t="s">
        <v>38</v>
      </c>
      <c r="G29">
        <v>14</v>
      </c>
      <c r="H29">
        <v>800</v>
      </c>
      <c r="I29" t="s">
        <v>42</v>
      </c>
      <c r="J29">
        <f t="shared" si="0"/>
        <v>10080</v>
      </c>
      <c r="K29" t="s">
        <v>47</v>
      </c>
      <c r="L29">
        <v>4.7</v>
      </c>
      <c r="M29" t="s">
        <v>53</v>
      </c>
    </row>
    <row r="30" spans="1:13">
      <c r="A30">
        <v>29</v>
      </c>
      <c r="B30" t="s">
        <v>15</v>
      </c>
      <c r="C30" t="s">
        <v>22</v>
      </c>
      <c r="D30" t="s">
        <v>28</v>
      </c>
      <c r="E30" t="s">
        <v>33</v>
      </c>
      <c r="F30" t="s">
        <v>41</v>
      </c>
      <c r="G30">
        <v>23</v>
      </c>
      <c r="H30">
        <v>120</v>
      </c>
      <c r="I30" t="s">
        <v>42</v>
      </c>
      <c r="J30">
        <f t="shared" si="0"/>
        <v>2484</v>
      </c>
      <c r="K30" t="s">
        <v>46</v>
      </c>
      <c r="L30">
        <v>3.9</v>
      </c>
      <c r="M30" t="s">
        <v>48</v>
      </c>
    </row>
    <row r="31" spans="1:13">
      <c r="A31">
        <v>30</v>
      </c>
      <c r="B31" t="s">
        <v>15</v>
      </c>
      <c r="C31" t="s">
        <v>18</v>
      </c>
      <c r="D31" t="s">
        <v>31</v>
      </c>
      <c r="E31" t="s">
        <v>33</v>
      </c>
      <c r="F31" t="s">
        <v>41</v>
      </c>
      <c r="G31">
        <v>6</v>
      </c>
      <c r="H31">
        <v>200</v>
      </c>
      <c r="I31" t="s">
        <v>43</v>
      </c>
      <c r="J31">
        <f t="shared" si="0"/>
        <v>1200</v>
      </c>
      <c r="K31" t="s">
        <v>45</v>
      </c>
      <c r="L31">
        <v>3.6</v>
      </c>
      <c r="M31" t="s">
        <v>55</v>
      </c>
    </row>
    <row r="32" spans="1:13">
      <c r="A32">
        <v>31</v>
      </c>
      <c r="B32" t="s">
        <v>14</v>
      </c>
      <c r="C32" t="s">
        <v>25</v>
      </c>
      <c r="D32" t="s">
        <v>31</v>
      </c>
      <c r="E32" t="s">
        <v>33</v>
      </c>
      <c r="F32" t="s">
        <v>38</v>
      </c>
      <c r="G32">
        <v>23</v>
      </c>
      <c r="H32">
        <v>120</v>
      </c>
      <c r="I32" t="s">
        <v>42</v>
      </c>
      <c r="J32">
        <f t="shared" si="0"/>
        <v>2484</v>
      </c>
      <c r="K32" t="s">
        <v>46</v>
      </c>
      <c r="L32">
        <v>3.6</v>
      </c>
      <c r="M32" t="s">
        <v>56</v>
      </c>
    </row>
    <row r="33" spans="1:13">
      <c r="A33">
        <v>32</v>
      </c>
      <c r="B33" t="s">
        <v>14</v>
      </c>
      <c r="C33" t="s">
        <v>26</v>
      </c>
      <c r="D33" t="s">
        <v>31</v>
      </c>
      <c r="E33" t="s">
        <v>33</v>
      </c>
      <c r="F33" t="s">
        <v>40</v>
      </c>
      <c r="G33">
        <v>13</v>
      </c>
      <c r="H33">
        <v>800</v>
      </c>
      <c r="I33" t="s">
        <v>43</v>
      </c>
      <c r="J33">
        <f t="shared" si="0"/>
        <v>10400</v>
      </c>
      <c r="K33" t="s">
        <v>45</v>
      </c>
      <c r="L33">
        <v>4.4000000000000004</v>
      </c>
      <c r="M33" t="s">
        <v>49</v>
      </c>
    </row>
    <row r="34" spans="1:13">
      <c r="A34">
        <v>33</v>
      </c>
      <c r="B34" t="s">
        <v>14</v>
      </c>
      <c r="C34" t="s">
        <v>17</v>
      </c>
      <c r="D34" t="s">
        <v>32</v>
      </c>
      <c r="E34" t="s">
        <v>34</v>
      </c>
      <c r="F34" t="s">
        <v>40</v>
      </c>
      <c r="G34">
        <v>24</v>
      </c>
      <c r="H34">
        <v>200</v>
      </c>
      <c r="I34" t="s">
        <v>43</v>
      </c>
      <c r="J34">
        <f t="shared" si="0"/>
        <v>4800</v>
      </c>
      <c r="K34" t="s">
        <v>45</v>
      </c>
      <c r="L34">
        <v>4.2</v>
      </c>
      <c r="M34" t="s">
        <v>53</v>
      </c>
    </row>
    <row r="35" spans="1:13">
      <c r="A35">
        <v>34</v>
      </c>
      <c r="B35" t="s">
        <v>14</v>
      </c>
      <c r="C35" t="s">
        <v>22</v>
      </c>
      <c r="D35" t="s">
        <v>30</v>
      </c>
      <c r="E35" t="s">
        <v>35</v>
      </c>
      <c r="F35" t="s">
        <v>36</v>
      </c>
      <c r="G35">
        <v>14</v>
      </c>
      <c r="H35">
        <v>300</v>
      </c>
      <c r="I35" t="s">
        <v>44</v>
      </c>
      <c r="J35">
        <f t="shared" si="0"/>
        <v>3990</v>
      </c>
      <c r="K35" t="s">
        <v>46</v>
      </c>
      <c r="L35">
        <v>4.5999999999999996</v>
      </c>
      <c r="M35" t="s">
        <v>49</v>
      </c>
    </row>
    <row r="36" spans="1:13">
      <c r="A36">
        <v>35</v>
      </c>
      <c r="B36" t="s">
        <v>13</v>
      </c>
      <c r="C36" t="s">
        <v>25</v>
      </c>
      <c r="D36" t="s">
        <v>27</v>
      </c>
      <c r="E36" t="s">
        <v>33</v>
      </c>
      <c r="F36" t="s">
        <v>39</v>
      </c>
      <c r="G36">
        <v>22</v>
      </c>
      <c r="H36">
        <v>370</v>
      </c>
      <c r="I36" t="s">
        <v>42</v>
      </c>
      <c r="J36">
        <f t="shared" si="0"/>
        <v>7326</v>
      </c>
      <c r="K36" t="s">
        <v>45</v>
      </c>
      <c r="L36">
        <v>3.6</v>
      </c>
      <c r="M36" t="s">
        <v>48</v>
      </c>
    </row>
    <row r="37" spans="1:13">
      <c r="A37">
        <v>36</v>
      </c>
      <c r="B37" t="s">
        <v>14</v>
      </c>
      <c r="C37" t="s">
        <v>18</v>
      </c>
      <c r="D37" t="s">
        <v>31</v>
      </c>
      <c r="E37" t="s">
        <v>33</v>
      </c>
      <c r="F37" t="s">
        <v>36</v>
      </c>
      <c r="G37">
        <v>13</v>
      </c>
      <c r="H37">
        <v>370</v>
      </c>
      <c r="I37" t="s">
        <v>42</v>
      </c>
      <c r="J37">
        <f t="shared" si="0"/>
        <v>4329</v>
      </c>
      <c r="K37" t="s">
        <v>46</v>
      </c>
      <c r="L37">
        <v>3.8</v>
      </c>
      <c r="M37" t="s">
        <v>52</v>
      </c>
    </row>
    <row r="38" spans="1:13">
      <c r="A38">
        <v>37</v>
      </c>
      <c r="B38" t="s">
        <v>16</v>
      </c>
      <c r="C38" t="s">
        <v>25</v>
      </c>
      <c r="D38" t="s">
        <v>29</v>
      </c>
      <c r="E38" t="s">
        <v>34</v>
      </c>
      <c r="F38" t="s">
        <v>39</v>
      </c>
      <c r="G38">
        <v>20</v>
      </c>
      <c r="H38">
        <v>370</v>
      </c>
      <c r="I38" t="s">
        <v>43</v>
      </c>
      <c r="J38">
        <f t="shared" si="0"/>
        <v>7400</v>
      </c>
      <c r="K38" t="s">
        <v>45</v>
      </c>
      <c r="L38">
        <v>3.6</v>
      </c>
      <c r="M38" t="s">
        <v>56</v>
      </c>
    </row>
    <row r="39" spans="1:13">
      <c r="A39">
        <v>38</v>
      </c>
      <c r="B39" t="s">
        <v>16</v>
      </c>
      <c r="C39" t="s">
        <v>23</v>
      </c>
      <c r="D39" t="s">
        <v>31</v>
      </c>
      <c r="E39" t="s">
        <v>33</v>
      </c>
      <c r="F39" t="s">
        <v>39</v>
      </c>
      <c r="G39">
        <v>25</v>
      </c>
      <c r="H39">
        <v>370</v>
      </c>
      <c r="I39" t="s">
        <v>43</v>
      </c>
      <c r="J39">
        <f t="shared" si="0"/>
        <v>9250</v>
      </c>
      <c r="K39" t="s">
        <v>45</v>
      </c>
      <c r="L39">
        <v>4.5</v>
      </c>
      <c r="M39" t="s">
        <v>51</v>
      </c>
    </row>
    <row r="40" spans="1:13">
      <c r="A40">
        <v>39</v>
      </c>
      <c r="B40" t="s">
        <v>13</v>
      </c>
      <c r="C40" t="s">
        <v>21</v>
      </c>
      <c r="D40" t="s">
        <v>27</v>
      </c>
      <c r="E40" t="s">
        <v>33</v>
      </c>
      <c r="F40" t="s">
        <v>38</v>
      </c>
      <c r="G40">
        <v>9</v>
      </c>
      <c r="H40">
        <v>120</v>
      </c>
      <c r="I40" t="s">
        <v>44</v>
      </c>
      <c r="J40">
        <f t="shared" si="0"/>
        <v>1026</v>
      </c>
      <c r="K40" t="s">
        <v>45</v>
      </c>
      <c r="L40">
        <v>4.3</v>
      </c>
      <c r="M40" t="s">
        <v>52</v>
      </c>
    </row>
    <row r="41" spans="1:13">
      <c r="A41">
        <v>40</v>
      </c>
      <c r="B41" t="s">
        <v>13</v>
      </c>
      <c r="C41" t="s">
        <v>20</v>
      </c>
      <c r="D41" t="s">
        <v>30</v>
      </c>
      <c r="E41" t="s">
        <v>35</v>
      </c>
      <c r="F41" t="s">
        <v>40</v>
      </c>
      <c r="G41">
        <v>30</v>
      </c>
      <c r="H41">
        <v>120</v>
      </c>
      <c r="I41" t="s">
        <v>44</v>
      </c>
      <c r="J41">
        <f t="shared" si="0"/>
        <v>3420</v>
      </c>
      <c r="K41" t="s">
        <v>46</v>
      </c>
      <c r="L41">
        <v>3.8</v>
      </c>
      <c r="M41" t="s">
        <v>50</v>
      </c>
    </row>
    <row r="42" spans="1:13">
      <c r="A42">
        <v>41</v>
      </c>
      <c r="B42" t="s">
        <v>13</v>
      </c>
      <c r="C42" t="s">
        <v>21</v>
      </c>
      <c r="D42" t="s">
        <v>29</v>
      </c>
      <c r="E42" t="s">
        <v>34</v>
      </c>
      <c r="F42" t="s">
        <v>39</v>
      </c>
      <c r="G42">
        <v>28</v>
      </c>
      <c r="H42">
        <v>300</v>
      </c>
      <c r="I42" t="s">
        <v>43</v>
      </c>
      <c r="J42">
        <f t="shared" si="0"/>
        <v>8400</v>
      </c>
      <c r="K42" t="s">
        <v>45</v>
      </c>
      <c r="L42">
        <v>4.5999999999999996</v>
      </c>
      <c r="M42" t="s">
        <v>56</v>
      </c>
    </row>
    <row r="43" spans="1:13">
      <c r="A43">
        <v>42</v>
      </c>
      <c r="B43" t="s">
        <v>15</v>
      </c>
      <c r="C43" t="s">
        <v>21</v>
      </c>
      <c r="D43" t="s">
        <v>32</v>
      </c>
      <c r="E43" t="s">
        <v>34</v>
      </c>
      <c r="F43" t="s">
        <v>39</v>
      </c>
      <c r="G43">
        <v>30</v>
      </c>
      <c r="H43">
        <v>350</v>
      </c>
      <c r="I43" t="s">
        <v>44</v>
      </c>
      <c r="J43">
        <f t="shared" si="0"/>
        <v>9975</v>
      </c>
      <c r="K43" t="s">
        <v>47</v>
      </c>
      <c r="L43">
        <v>3.7</v>
      </c>
      <c r="M43" t="s">
        <v>53</v>
      </c>
    </row>
    <row r="44" spans="1:13">
      <c r="A44">
        <v>43</v>
      </c>
      <c r="B44" t="s">
        <v>13</v>
      </c>
      <c r="C44" t="s">
        <v>18</v>
      </c>
      <c r="D44" t="s">
        <v>31</v>
      </c>
      <c r="E44" t="s">
        <v>33</v>
      </c>
      <c r="F44" t="s">
        <v>39</v>
      </c>
      <c r="G44">
        <v>19</v>
      </c>
      <c r="H44">
        <v>600</v>
      </c>
      <c r="I44" t="s">
        <v>44</v>
      </c>
      <c r="J44">
        <f t="shared" si="0"/>
        <v>10830</v>
      </c>
      <c r="K44" t="s">
        <v>46</v>
      </c>
      <c r="L44">
        <v>4.5999999999999996</v>
      </c>
      <c r="M44" t="s">
        <v>53</v>
      </c>
    </row>
    <row r="45" spans="1:13">
      <c r="A45">
        <v>44</v>
      </c>
      <c r="B45" t="s">
        <v>14</v>
      </c>
      <c r="C45" t="s">
        <v>24</v>
      </c>
      <c r="D45" t="s">
        <v>32</v>
      </c>
      <c r="E45" t="s">
        <v>34</v>
      </c>
      <c r="F45" t="s">
        <v>36</v>
      </c>
      <c r="G45">
        <v>15</v>
      </c>
      <c r="H45">
        <v>370</v>
      </c>
      <c r="I45" t="s">
        <v>43</v>
      </c>
      <c r="J45">
        <f t="shared" si="0"/>
        <v>5550</v>
      </c>
      <c r="K45" t="s">
        <v>46</v>
      </c>
      <c r="L45">
        <v>4.8</v>
      </c>
      <c r="M45" t="s">
        <v>50</v>
      </c>
    </row>
    <row r="46" spans="1:13">
      <c r="A46">
        <v>45</v>
      </c>
      <c r="B46" t="s">
        <v>14</v>
      </c>
      <c r="C46" t="s">
        <v>17</v>
      </c>
      <c r="D46" t="s">
        <v>27</v>
      </c>
      <c r="E46" t="s">
        <v>33</v>
      </c>
      <c r="F46" t="s">
        <v>37</v>
      </c>
      <c r="G46">
        <v>22</v>
      </c>
      <c r="H46">
        <v>600</v>
      </c>
      <c r="I46" t="s">
        <v>43</v>
      </c>
      <c r="J46">
        <f t="shared" si="0"/>
        <v>13200</v>
      </c>
      <c r="K46" t="s">
        <v>47</v>
      </c>
      <c r="L46">
        <v>3.6</v>
      </c>
      <c r="M46" t="s">
        <v>49</v>
      </c>
    </row>
    <row r="47" spans="1:13">
      <c r="A47">
        <v>46</v>
      </c>
      <c r="B47" t="s">
        <v>14</v>
      </c>
      <c r="C47" t="s">
        <v>21</v>
      </c>
      <c r="D47" t="s">
        <v>28</v>
      </c>
      <c r="E47" t="s">
        <v>33</v>
      </c>
      <c r="F47" t="s">
        <v>37</v>
      </c>
      <c r="G47">
        <v>24</v>
      </c>
      <c r="H47">
        <v>800</v>
      </c>
      <c r="I47" t="s">
        <v>44</v>
      </c>
      <c r="J47">
        <f t="shared" si="0"/>
        <v>18240</v>
      </c>
      <c r="K47" t="s">
        <v>46</v>
      </c>
      <c r="L47">
        <v>4.4000000000000004</v>
      </c>
      <c r="M47" t="s">
        <v>51</v>
      </c>
    </row>
    <row r="48" spans="1:13">
      <c r="A48">
        <v>47</v>
      </c>
      <c r="B48" t="s">
        <v>16</v>
      </c>
      <c r="C48" t="s">
        <v>19</v>
      </c>
      <c r="D48" t="s">
        <v>32</v>
      </c>
      <c r="E48" t="s">
        <v>34</v>
      </c>
      <c r="F48" t="s">
        <v>37</v>
      </c>
      <c r="G48">
        <v>23</v>
      </c>
      <c r="H48">
        <v>350</v>
      </c>
      <c r="I48" t="s">
        <v>44</v>
      </c>
      <c r="J48">
        <f t="shared" si="0"/>
        <v>7647.5</v>
      </c>
      <c r="K48" t="s">
        <v>46</v>
      </c>
      <c r="L48">
        <v>3.6</v>
      </c>
      <c r="M48" t="s">
        <v>53</v>
      </c>
    </row>
    <row r="49" spans="1:13">
      <c r="A49">
        <v>48</v>
      </c>
      <c r="B49" t="s">
        <v>14</v>
      </c>
      <c r="C49" t="s">
        <v>20</v>
      </c>
      <c r="D49" t="s">
        <v>30</v>
      </c>
      <c r="E49" t="s">
        <v>35</v>
      </c>
      <c r="F49" t="s">
        <v>36</v>
      </c>
      <c r="G49">
        <v>18</v>
      </c>
      <c r="H49">
        <v>200</v>
      </c>
      <c r="I49" t="s">
        <v>42</v>
      </c>
      <c r="J49">
        <f t="shared" si="0"/>
        <v>3240</v>
      </c>
      <c r="K49" t="s">
        <v>47</v>
      </c>
      <c r="L49">
        <v>4.7</v>
      </c>
      <c r="M49" t="s">
        <v>48</v>
      </c>
    </row>
    <row r="50" spans="1:13">
      <c r="A50">
        <v>49</v>
      </c>
      <c r="B50" t="s">
        <v>14</v>
      </c>
      <c r="C50" t="s">
        <v>23</v>
      </c>
      <c r="D50" t="s">
        <v>30</v>
      </c>
      <c r="E50" t="s">
        <v>35</v>
      </c>
      <c r="F50" t="s">
        <v>38</v>
      </c>
      <c r="G50">
        <v>26</v>
      </c>
      <c r="H50">
        <v>800</v>
      </c>
      <c r="I50" t="s">
        <v>44</v>
      </c>
      <c r="J50">
        <f t="shared" si="0"/>
        <v>19760</v>
      </c>
      <c r="K50" t="s">
        <v>45</v>
      </c>
      <c r="L50">
        <v>4</v>
      </c>
      <c r="M50" t="s">
        <v>50</v>
      </c>
    </row>
    <row r="51" spans="1:13">
      <c r="A51">
        <v>50</v>
      </c>
      <c r="B51" t="s">
        <v>16</v>
      </c>
      <c r="C51" t="s">
        <v>23</v>
      </c>
      <c r="D51" t="s">
        <v>27</v>
      </c>
      <c r="E51" t="s">
        <v>33</v>
      </c>
      <c r="F51" t="s">
        <v>39</v>
      </c>
      <c r="G51">
        <v>17</v>
      </c>
      <c r="H51">
        <v>300</v>
      </c>
      <c r="I51" t="s">
        <v>42</v>
      </c>
      <c r="J51">
        <f t="shared" si="0"/>
        <v>4590</v>
      </c>
      <c r="K51" t="s">
        <v>47</v>
      </c>
      <c r="L51">
        <v>4.2</v>
      </c>
      <c r="M51" t="s">
        <v>52</v>
      </c>
    </row>
  </sheetData>
  <conditionalFormatting sqref="J2:J51">
    <cfRule type="aboveAverage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C32B-E9F4-41F8-8027-EB11171E971F}">
  <dimension ref="A1:N51"/>
  <sheetViews>
    <sheetView tabSelected="1" workbookViewId="0">
      <selection activeCell="P11" sqref="P11"/>
    </sheetView>
  </sheetViews>
  <sheetFormatPr defaultRowHeight="14.4"/>
  <cols>
    <col min="1" max="1" width="11.21875" customWidth="1"/>
    <col min="2" max="2" width="13" customWidth="1"/>
    <col min="4" max="4" width="9.5546875" customWidth="1"/>
    <col min="5" max="5" width="11.88671875" customWidth="1"/>
    <col min="6" max="6" width="10.21875" customWidth="1"/>
    <col min="7" max="7" width="19.44140625" customWidth="1"/>
  </cols>
  <sheetData>
    <row r="1" spans="1:14">
      <c r="A1" s="7" t="s">
        <v>66</v>
      </c>
      <c r="B1" s="7" t="s">
        <v>67</v>
      </c>
      <c r="C1" s="7" t="s">
        <v>1</v>
      </c>
      <c r="D1" s="7" t="s">
        <v>3</v>
      </c>
      <c r="E1" s="7" t="s">
        <v>6</v>
      </c>
      <c r="F1" s="7" t="s">
        <v>9</v>
      </c>
      <c r="G1" s="7" t="s">
        <v>10</v>
      </c>
      <c r="H1" s="7" t="s">
        <v>5</v>
      </c>
      <c r="I1" s="7" t="s">
        <v>11</v>
      </c>
    </row>
    <row r="2" spans="1:14">
      <c r="A2" s="8" t="s">
        <v>68</v>
      </c>
      <c r="B2" s="8" t="s">
        <v>69</v>
      </c>
      <c r="C2" s="8" t="s">
        <v>14</v>
      </c>
      <c r="D2" s="8" t="s">
        <v>28</v>
      </c>
      <c r="E2" s="8">
        <v>12</v>
      </c>
      <c r="F2" s="8">
        <v>9600</v>
      </c>
      <c r="G2" s="8" t="s">
        <v>45</v>
      </c>
      <c r="H2" s="8" t="s">
        <v>70</v>
      </c>
      <c r="I2" s="8">
        <v>4</v>
      </c>
    </row>
    <row r="3" spans="1:14">
      <c r="A3" s="8" t="s">
        <v>71</v>
      </c>
      <c r="B3" s="8" t="s">
        <v>69</v>
      </c>
      <c r="C3" s="8" t="s">
        <v>16</v>
      </c>
      <c r="D3" s="8" t="s">
        <v>31</v>
      </c>
      <c r="E3" s="8">
        <v>9</v>
      </c>
      <c r="F3" s="8">
        <v>4050</v>
      </c>
      <c r="G3" s="8" t="s">
        <v>72</v>
      </c>
      <c r="H3" s="8" t="s">
        <v>70</v>
      </c>
      <c r="I3" s="8">
        <v>5</v>
      </c>
    </row>
    <row r="4" spans="1:14" ht="28.8">
      <c r="A4" s="8" t="s">
        <v>73</v>
      </c>
      <c r="B4" s="8" t="s">
        <v>74</v>
      </c>
      <c r="C4" s="8" t="s">
        <v>15</v>
      </c>
      <c r="D4" s="8" t="s">
        <v>75</v>
      </c>
      <c r="E4" s="8">
        <v>17</v>
      </c>
      <c r="F4" s="8">
        <v>2550</v>
      </c>
      <c r="G4" s="8" t="s">
        <v>76</v>
      </c>
      <c r="H4" s="8" t="s">
        <v>77</v>
      </c>
      <c r="I4" s="8">
        <v>3</v>
      </c>
    </row>
    <row r="5" spans="1:14">
      <c r="A5" s="8" t="s">
        <v>78</v>
      </c>
      <c r="B5" s="8" t="s">
        <v>79</v>
      </c>
      <c r="C5" s="8" t="s">
        <v>13</v>
      </c>
      <c r="D5" s="8" t="s">
        <v>27</v>
      </c>
      <c r="E5" s="8">
        <v>5</v>
      </c>
      <c r="F5" s="8">
        <v>1750</v>
      </c>
      <c r="G5" s="8" t="s">
        <v>45</v>
      </c>
      <c r="H5" s="8" t="s">
        <v>80</v>
      </c>
      <c r="I5" s="8">
        <v>4</v>
      </c>
    </row>
    <row r="6" spans="1:14">
      <c r="A6" s="8" t="s">
        <v>81</v>
      </c>
      <c r="B6" s="8" t="s">
        <v>82</v>
      </c>
      <c r="C6" s="8" t="s">
        <v>14</v>
      </c>
      <c r="D6" s="8" t="s">
        <v>30</v>
      </c>
      <c r="E6" s="8">
        <v>4</v>
      </c>
      <c r="F6" s="8">
        <v>1200</v>
      </c>
      <c r="G6" s="8" t="s">
        <v>72</v>
      </c>
      <c r="H6" s="8" t="s">
        <v>80</v>
      </c>
      <c r="I6" s="8">
        <v>3</v>
      </c>
    </row>
    <row r="7" spans="1:14">
      <c r="A7" s="8" t="s">
        <v>83</v>
      </c>
      <c r="B7" s="8" t="s">
        <v>79</v>
      </c>
      <c r="C7" s="8" t="s">
        <v>15</v>
      </c>
      <c r="D7" s="8" t="s">
        <v>28</v>
      </c>
      <c r="E7" s="8">
        <v>8</v>
      </c>
      <c r="F7" s="8">
        <v>7200</v>
      </c>
      <c r="G7" s="8" t="s">
        <v>45</v>
      </c>
      <c r="H7" s="8" t="s">
        <v>84</v>
      </c>
      <c r="I7" s="8">
        <v>5</v>
      </c>
    </row>
    <row r="8" spans="1:14">
      <c r="A8" s="8" t="s">
        <v>85</v>
      </c>
      <c r="B8" s="8" t="s">
        <v>69</v>
      </c>
      <c r="C8" s="8" t="s">
        <v>13</v>
      </c>
      <c r="D8" s="8" t="s">
        <v>31</v>
      </c>
      <c r="E8" s="8">
        <v>14</v>
      </c>
      <c r="F8" s="8">
        <v>6300</v>
      </c>
      <c r="G8" s="8" t="s">
        <v>72</v>
      </c>
      <c r="H8" s="8" t="s">
        <v>84</v>
      </c>
      <c r="I8" s="8">
        <v>4</v>
      </c>
      <c r="N8" s="9"/>
    </row>
    <row r="9" spans="1:14">
      <c r="A9" s="8" t="s">
        <v>86</v>
      </c>
      <c r="B9" s="8" t="s">
        <v>74</v>
      </c>
      <c r="C9" s="8" t="s">
        <v>14</v>
      </c>
      <c r="D9" s="8" t="s">
        <v>27</v>
      </c>
      <c r="E9" s="8">
        <v>6</v>
      </c>
      <c r="F9" s="8">
        <v>2100</v>
      </c>
      <c r="G9" s="8" t="s">
        <v>76</v>
      </c>
      <c r="H9" s="8" t="s">
        <v>37</v>
      </c>
      <c r="I9" s="8">
        <v>3</v>
      </c>
    </row>
    <row r="10" spans="1:14">
      <c r="A10" s="8" t="s">
        <v>87</v>
      </c>
      <c r="B10" s="8" t="s">
        <v>82</v>
      </c>
      <c r="C10" s="8" t="s">
        <v>16</v>
      </c>
      <c r="D10" s="8" t="s">
        <v>28</v>
      </c>
      <c r="E10" s="8">
        <v>9</v>
      </c>
      <c r="F10" s="8">
        <v>6750</v>
      </c>
      <c r="G10" s="8" t="s">
        <v>45</v>
      </c>
      <c r="H10" s="8" t="s">
        <v>37</v>
      </c>
      <c r="I10" s="8">
        <v>4</v>
      </c>
    </row>
    <row r="11" spans="1:14" ht="28.8">
      <c r="A11" s="8" t="s">
        <v>88</v>
      </c>
      <c r="B11" s="8" t="s">
        <v>69</v>
      </c>
      <c r="C11" s="8" t="s">
        <v>15</v>
      </c>
      <c r="D11" s="8" t="s">
        <v>30</v>
      </c>
      <c r="E11" s="8">
        <v>7</v>
      </c>
      <c r="F11" s="8">
        <v>2450</v>
      </c>
      <c r="G11" s="8" t="s">
        <v>72</v>
      </c>
      <c r="H11" s="8" t="s">
        <v>37</v>
      </c>
      <c r="I11" s="8">
        <v>5</v>
      </c>
    </row>
    <row r="12" spans="1:14" ht="28.8">
      <c r="A12" s="8" t="s">
        <v>89</v>
      </c>
      <c r="B12" s="8" t="s">
        <v>79</v>
      </c>
      <c r="C12" s="8" t="s">
        <v>14</v>
      </c>
      <c r="D12" s="8" t="s">
        <v>75</v>
      </c>
      <c r="E12" s="8">
        <v>11</v>
      </c>
      <c r="F12" s="8">
        <v>1650</v>
      </c>
      <c r="G12" s="8" t="s">
        <v>76</v>
      </c>
      <c r="H12" s="8" t="s">
        <v>90</v>
      </c>
      <c r="I12" s="8">
        <v>3</v>
      </c>
    </row>
    <row r="13" spans="1:14">
      <c r="A13" s="8" t="s">
        <v>91</v>
      </c>
      <c r="B13" s="8" t="s">
        <v>69</v>
      </c>
      <c r="C13" s="8" t="s">
        <v>13</v>
      </c>
      <c r="D13" s="8" t="s">
        <v>27</v>
      </c>
      <c r="E13" s="8">
        <v>15</v>
      </c>
      <c r="F13" s="8">
        <v>5250</v>
      </c>
      <c r="G13" s="8" t="s">
        <v>45</v>
      </c>
      <c r="H13" s="8" t="s">
        <v>90</v>
      </c>
      <c r="I13" s="8">
        <v>5</v>
      </c>
    </row>
    <row r="14" spans="1:14">
      <c r="A14" s="8" t="s">
        <v>92</v>
      </c>
      <c r="B14" s="8" t="s">
        <v>82</v>
      </c>
      <c r="C14" s="8" t="s">
        <v>15</v>
      </c>
      <c r="D14" s="8" t="s">
        <v>31</v>
      </c>
      <c r="E14" s="8">
        <v>10</v>
      </c>
      <c r="F14" s="8">
        <v>4500</v>
      </c>
      <c r="G14" s="8" t="s">
        <v>72</v>
      </c>
      <c r="H14" s="8" t="s">
        <v>93</v>
      </c>
      <c r="I14" s="8">
        <v>4</v>
      </c>
    </row>
    <row r="15" spans="1:14">
      <c r="A15" s="8" t="s">
        <v>94</v>
      </c>
      <c r="B15" s="8" t="s">
        <v>74</v>
      </c>
      <c r="C15" s="8" t="s">
        <v>13</v>
      </c>
      <c r="D15" s="8" t="s">
        <v>28</v>
      </c>
      <c r="E15" s="8">
        <v>13</v>
      </c>
      <c r="F15" s="8">
        <v>10400</v>
      </c>
      <c r="G15" s="8" t="s">
        <v>45</v>
      </c>
      <c r="H15" s="8" t="s">
        <v>93</v>
      </c>
      <c r="I15" s="8">
        <v>5</v>
      </c>
    </row>
    <row r="16" spans="1:14">
      <c r="A16" s="8" t="s">
        <v>95</v>
      </c>
      <c r="B16" s="8" t="s">
        <v>79</v>
      </c>
      <c r="C16" s="8" t="s">
        <v>16</v>
      </c>
      <c r="D16" s="8" t="s">
        <v>30</v>
      </c>
      <c r="E16" s="8">
        <v>8</v>
      </c>
      <c r="F16" s="8">
        <v>2400</v>
      </c>
      <c r="G16" s="8" t="s">
        <v>72</v>
      </c>
      <c r="H16" s="8" t="s">
        <v>93</v>
      </c>
      <c r="I16" s="8">
        <v>3</v>
      </c>
    </row>
    <row r="17" spans="1:9">
      <c r="A17" s="8" t="s">
        <v>96</v>
      </c>
      <c r="B17" s="8" t="s">
        <v>69</v>
      </c>
      <c r="C17" s="8" t="s">
        <v>14</v>
      </c>
      <c r="D17" s="8" t="s">
        <v>27</v>
      </c>
      <c r="E17" s="8">
        <v>10</v>
      </c>
      <c r="F17" s="8">
        <v>3500</v>
      </c>
      <c r="G17" s="8" t="s">
        <v>76</v>
      </c>
      <c r="H17" s="8" t="s">
        <v>97</v>
      </c>
      <c r="I17" s="8">
        <v>4</v>
      </c>
    </row>
    <row r="18" spans="1:9" ht="28.8">
      <c r="A18" s="8" t="s">
        <v>98</v>
      </c>
      <c r="B18" s="8" t="s">
        <v>82</v>
      </c>
      <c r="C18" s="8" t="s">
        <v>16</v>
      </c>
      <c r="D18" s="8" t="s">
        <v>75</v>
      </c>
      <c r="E18" s="8">
        <v>6</v>
      </c>
      <c r="F18" s="8">
        <v>900</v>
      </c>
      <c r="G18" s="8" t="s">
        <v>72</v>
      </c>
      <c r="H18" s="8" t="s">
        <v>97</v>
      </c>
      <c r="I18" s="8">
        <v>3</v>
      </c>
    </row>
    <row r="19" spans="1:9">
      <c r="A19" s="8" t="s">
        <v>99</v>
      </c>
      <c r="B19" s="8" t="s">
        <v>79</v>
      </c>
      <c r="C19" s="8" t="s">
        <v>15</v>
      </c>
      <c r="D19" s="8" t="s">
        <v>28</v>
      </c>
      <c r="E19" s="8">
        <v>11</v>
      </c>
      <c r="F19" s="8">
        <v>9900</v>
      </c>
      <c r="G19" s="8" t="s">
        <v>45</v>
      </c>
      <c r="H19" s="8" t="s">
        <v>97</v>
      </c>
      <c r="I19" s="8">
        <v>5</v>
      </c>
    </row>
    <row r="20" spans="1:9" ht="28.8">
      <c r="A20" s="8" t="s">
        <v>100</v>
      </c>
      <c r="B20" s="8" t="s">
        <v>74</v>
      </c>
      <c r="C20" s="8" t="s">
        <v>14</v>
      </c>
      <c r="D20" s="8" t="s">
        <v>31</v>
      </c>
      <c r="E20" s="8">
        <v>9</v>
      </c>
      <c r="F20" s="8">
        <v>4050</v>
      </c>
      <c r="G20" s="8" t="s">
        <v>72</v>
      </c>
      <c r="H20" s="8" t="s">
        <v>101</v>
      </c>
      <c r="I20" s="8">
        <v>4</v>
      </c>
    </row>
    <row r="21" spans="1:9" ht="28.8">
      <c r="A21" s="8" t="s">
        <v>102</v>
      </c>
      <c r="B21" s="8" t="s">
        <v>82</v>
      </c>
      <c r="C21" s="8" t="s">
        <v>13</v>
      </c>
      <c r="D21" s="8" t="s">
        <v>27</v>
      </c>
      <c r="E21" s="8">
        <v>5</v>
      </c>
      <c r="F21" s="8">
        <v>1750</v>
      </c>
      <c r="G21" s="8" t="s">
        <v>45</v>
      </c>
      <c r="H21" s="8" t="s">
        <v>101</v>
      </c>
      <c r="I21" s="8">
        <v>3</v>
      </c>
    </row>
    <row r="22" spans="1:9" ht="28.8">
      <c r="A22" s="8" t="s">
        <v>103</v>
      </c>
      <c r="B22" s="8" t="s">
        <v>69</v>
      </c>
      <c r="C22" s="8" t="s">
        <v>16</v>
      </c>
      <c r="D22" s="8" t="s">
        <v>28</v>
      </c>
      <c r="E22" s="8">
        <v>16</v>
      </c>
      <c r="F22" s="8">
        <v>12800</v>
      </c>
      <c r="G22" s="8" t="s">
        <v>72</v>
      </c>
      <c r="H22" s="8" t="s">
        <v>101</v>
      </c>
      <c r="I22" s="8">
        <v>5</v>
      </c>
    </row>
    <row r="23" spans="1:9">
      <c r="A23" s="8" t="s">
        <v>104</v>
      </c>
      <c r="B23" s="8" t="s">
        <v>79</v>
      </c>
      <c r="C23" s="8" t="s">
        <v>14</v>
      </c>
      <c r="D23" s="8" t="s">
        <v>30</v>
      </c>
      <c r="E23" s="8">
        <v>7</v>
      </c>
      <c r="F23" s="8">
        <v>2100</v>
      </c>
      <c r="G23" s="8" t="s">
        <v>76</v>
      </c>
      <c r="H23" s="8" t="s">
        <v>105</v>
      </c>
      <c r="I23" s="8">
        <v>4</v>
      </c>
    </row>
    <row r="24" spans="1:9" ht="28.8">
      <c r="A24" s="8" t="s">
        <v>106</v>
      </c>
      <c r="B24" s="8" t="s">
        <v>74</v>
      </c>
      <c r="C24" s="8" t="s">
        <v>15</v>
      </c>
      <c r="D24" s="8" t="s">
        <v>75</v>
      </c>
      <c r="E24" s="8">
        <v>10</v>
      </c>
      <c r="F24" s="8">
        <v>1500</v>
      </c>
      <c r="G24" s="8" t="s">
        <v>45</v>
      </c>
      <c r="H24" s="8" t="s">
        <v>105</v>
      </c>
      <c r="I24" s="8">
        <v>3</v>
      </c>
    </row>
    <row r="25" spans="1:9">
      <c r="A25" s="8" t="s">
        <v>107</v>
      </c>
      <c r="B25" s="8" t="s">
        <v>82</v>
      </c>
      <c r="C25" s="8" t="s">
        <v>16</v>
      </c>
      <c r="D25" s="8" t="s">
        <v>27</v>
      </c>
      <c r="E25" s="8">
        <v>12</v>
      </c>
      <c r="F25" s="8">
        <v>4200</v>
      </c>
      <c r="G25" s="8" t="s">
        <v>72</v>
      </c>
      <c r="H25" s="8" t="s">
        <v>105</v>
      </c>
      <c r="I25" s="8">
        <v>4</v>
      </c>
    </row>
    <row r="26" spans="1:9" ht="28.8">
      <c r="A26" s="8" t="s">
        <v>108</v>
      </c>
      <c r="B26" s="8" t="s">
        <v>69</v>
      </c>
      <c r="C26" s="8" t="s">
        <v>13</v>
      </c>
      <c r="D26" s="8" t="s">
        <v>31</v>
      </c>
      <c r="E26" s="8">
        <v>15</v>
      </c>
      <c r="F26" s="8">
        <v>6750</v>
      </c>
      <c r="G26" s="8" t="s">
        <v>45</v>
      </c>
      <c r="H26" s="8" t="s">
        <v>109</v>
      </c>
      <c r="I26" s="8">
        <v>5</v>
      </c>
    </row>
    <row r="27" spans="1:9" ht="28.8">
      <c r="A27" s="8" t="s">
        <v>110</v>
      </c>
      <c r="B27" s="8" t="s">
        <v>79</v>
      </c>
      <c r="C27" s="8" t="s">
        <v>14</v>
      </c>
      <c r="D27" s="8" t="s">
        <v>28</v>
      </c>
      <c r="E27" s="8">
        <v>9</v>
      </c>
      <c r="F27" s="8">
        <v>8100</v>
      </c>
      <c r="G27" s="8" t="s">
        <v>72</v>
      </c>
      <c r="H27" s="8" t="s">
        <v>109</v>
      </c>
      <c r="I27" s="8">
        <v>4</v>
      </c>
    </row>
    <row r="28" spans="1:9" ht="28.8">
      <c r="A28" s="8" t="s">
        <v>111</v>
      </c>
      <c r="B28" s="8" t="s">
        <v>74</v>
      </c>
      <c r="C28" s="8" t="s">
        <v>15</v>
      </c>
      <c r="D28" s="8" t="s">
        <v>30</v>
      </c>
      <c r="E28" s="8">
        <v>8</v>
      </c>
      <c r="F28" s="8">
        <v>2400</v>
      </c>
      <c r="G28" s="8" t="s">
        <v>45</v>
      </c>
      <c r="H28" s="8" t="s">
        <v>109</v>
      </c>
      <c r="I28" s="8">
        <v>3</v>
      </c>
    </row>
    <row r="29" spans="1:9" ht="28.8">
      <c r="A29" s="8" t="s">
        <v>112</v>
      </c>
      <c r="B29" s="8" t="s">
        <v>82</v>
      </c>
      <c r="C29" s="8" t="s">
        <v>14</v>
      </c>
      <c r="D29" s="8" t="s">
        <v>27</v>
      </c>
      <c r="E29" s="8">
        <v>10</v>
      </c>
      <c r="F29" s="8">
        <v>3500</v>
      </c>
      <c r="G29" s="8" t="s">
        <v>76</v>
      </c>
      <c r="H29" s="8" t="s">
        <v>109</v>
      </c>
      <c r="I29" s="8">
        <v>4</v>
      </c>
    </row>
    <row r="30" spans="1:9" ht="28.8">
      <c r="A30" s="8" t="s">
        <v>113</v>
      </c>
      <c r="B30" s="8" t="s">
        <v>69</v>
      </c>
      <c r="C30" s="8" t="s">
        <v>15</v>
      </c>
      <c r="D30" s="8" t="s">
        <v>28</v>
      </c>
      <c r="E30" s="8">
        <v>18</v>
      </c>
      <c r="F30" s="8">
        <v>16200</v>
      </c>
      <c r="G30" s="8" t="s">
        <v>45</v>
      </c>
      <c r="H30" s="8" t="s">
        <v>114</v>
      </c>
      <c r="I30" s="8">
        <v>5</v>
      </c>
    </row>
    <row r="31" spans="1:9" ht="28.8">
      <c r="A31" s="8" t="s">
        <v>115</v>
      </c>
      <c r="B31" s="8" t="s">
        <v>79</v>
      </c>
      <c r="C31" s="8" t="s">
        <v>13</v>
      </c>
      <c r="D31" s="8" t="s">
        <v>31</v>
      </c>
      <c r="E31" s="8">
        <v>12</v>
      </c>
      <c r="F31" s="8">
        <v>5400</v>
      </c>
      <c r="G31" s="8" t="s">
        <v>72</v>
      </c>
      <c r="H31" s="8" t="s">
        <v>114</v>
      </c>
      <c r="I31" s="8">
        <v>4</v>
      </c>
    </row>
    <row r="32" spans="1:9" ht="28.8">
      <c r="A32" s="8" t="s">
        <v>116</v>
      </c>
      <c r="B32" s="8" t="s">
        <v>82</v>
      </c>
      <c r="C32" s="8" t="s">
        <v>14</v>
      </c>
      <c r="D32" s="8" t="s">
        <v>75</v>
      </c>
      <c r="E32" s="8">
        <v>7</v>
      </c>
      <c r="F32" s="8">
        <v>1050</v>
      </c>
      <c r="G32" s="8" t="s">
        <v>76</v>
      </c>
      <c r="H32" s="8" t="s">
        <v>114</v>
      </c>
      <c r="I32" s="8">
        <v>3</v>
      </c>
    </row>
    <row r="33" spans="1:9" ht="28.8">
      <c r="A33" s="8" t="s">
        <v>117</v>
      </c>
      <c r="B33" s="8" t="s">
        <v>74</v>
      </c>
      <c r="C33" s="8" t="s">
        <v>13</v>
      </c>
      <c r="D33" s="8" t="s">
        <v>27</v>
      </c>
      <c r="E33" s="8">
        <v>9</v>
      </c>
      <c r="F33" s="8">
        <v>3150</v>
      </c>
      <c r="G33" s="8" t="s">
        <v>45</v>
      </c>
      <c r="H33" s="8" t="s">
        <v>114</v>
      </c>
      <c r="I33" s="8">
        <v>4</v>
      </c>
    </row>
    <row r="34" spans="1:9">
      <c r="A34" s="8" t="s">
        <v>118</v>
      </c>
      <c r="B34" s="8" t="s">
        <v>69</v>
      </c>
      <c r="C34" s="8" t="s">
        <v>16</v>
      </c>
      <c r="D34" s="8" t="s">
        <v>30</v>
      </c>
      <c r="E34" s="8">
        <v>11</v>
      </c>
      <c r="F34" s="8">
        <v>3300</v>
      </c>
      <c r="G34" s="8" t="s">
        <v>72</v>
      </c>
      <c r="H34" s="8" t="s">
        <v>70</v>
      </c>
      <c r="I34" s="8">
        <v>5</v>
      </c>
    </row>
    <row r="35" spans="1:9">
      <c r="A35" s="8" t="s">
        <v>119</v>
      </c>
      <c r="B35" s="8" t="s">
        <v>79</v>
      </c>
      <c r="C35" s="8" t="s">
        <v>15</v>
      </c>
      <c r="D35" s="8" t="s">
        <v>28</v>
      </c>
      <c r="E35" s="8">
        <v>10</v>
      </c>
      <c r="F35" s="8">
        <v>9000</v>
      </c>
      <c r="G35" s="8" t="s">
        <v>45</v>
      </c>
      <c r="H35" s="8" t="s">
        <v>77</v>
      </c>
      <c r="I35" s="8">
        <v>4</v>
      </c>
    </row>
    <row r="36" spans="1:9">
      <c r="A36" s="8" t="s">
        <v>120</v>
      </c>
      <c r="B36" s="8" t="s">
        <v>82</v>
      </c>
      <c r="C36" s="8" t="s">
        <v>13</v>
      </c>
      <c r="D36" s="8" t="s">
        <v>31</v>
      </c>
      <c r="E36" s="8">
        <v>8</v>
      </c>
      <c r="F36" s="8">
        <v>3600</v>
      </c>
      <c r="G36" s="8" t="s">
        <v>72</v>
      </c>
      <c r="H36" s="8" t="s">
        <v>80</v>
      </c>
      <c r="I36" s="8">
        <v>3</v>
      </c>
    </row>
    <row r="37" spans="1:9">
      <c r="A37" s="8" t="s">
        <v>121</v>
      </c>
      <c r="B37" s="8" t="s">
        <v>74</v>
      </c>
      <c r="C37" s="8" t="s">
        <v>16</v>
      </c>
      <c r="D37" s="8" t="s">
        <v>27</v>
      </c>
      <c r="E37" s="8">
        <v>7</v>
      </c>
      <c r="F37" s="8">
        <v>2450</v>
      </c>
      <c r="G37" s="8" t="s">
        <v>45</v>
      </c>
      <c r="H37" s="8" t="s">
        <v>84</v>
      </c>
      <c r="I37" s="8">
        <v>4</v>
      </c>
    </row>
    <row r="38" spans="1:9" ht="28.8">
      <c r="A38" s="8" t="s">
        <v>122</v>
      </c>
      <c r="B38" s="8" t="s">
        <v>69</v>
      </c>
      <c r="C38" s="8" t="s">
        <v>14</v>
      </c>
      <c r="D38" s="8" t="s">
        <v>28</v>
      </c>
      <c r="E38" s="8">
        <v>14</v>
      </c>
      <c r="F38" s="8">
        <v>11200</v>
      </c>
      <c r="G38" s="8" t="s">
        <v>45</v>
      </c>
      <c r="H38" s="8" t="s">
        <v>37</v>
      </c>
      <c r="I38" s="8">
        <v>5</v>
      </c>
    </row>
    <row r="39" spans="1:9">
      <c r="A39" s="8" t="s">
        <v>123</v>
      </c>
      <c r="B39" s="8" t="s">
        <v>79</v>
      </c>
      <c r="C39" s="8" t="s">
        <v>15</v>
      </c>
      <c r="D39" s="8" t="s">
        <v>30</v>
      </c>
      <c r="E39" s="8">
        <v>6</v>
      </c>
      <c r="F39" s="8">
        <v>1800</v>
      </c>
      <c r="G39" s="8" t="s">
        <v>76</v>
      </c>
      <c r="H39" s="8" t="s">
        <v>90</v>
      </c>
      <c r="I39" s="8">
        <v>3</v>
      </c>
    </row>
    <row r="40" spans="1:9">
      <c r="A40" s="8" t="s">
        <v>124</v>
      </c>
      <c r="B40" s="8" t="s">
        <v>82</v>
      </c>
      <c r="C40" s="8" t="s">
        <v>14</v>
      </c>
      <c r="D40" s="8" t="s">
        <v>27</v>
      </c>
      <c r="E40" s="8">
        <v>8</v>
      </c>
      <c r="F40" s="8">
        <v>2800</v>
      </c>
      <c r="G40" s="8" t="s">
        <v>72</v>
      </c>
      <c r="H40" s="8" t="s">
        <v>93</v>
      </c>
      <c r="I40" s="8">
        <v>4</v>
      </c>
    </row>
    <row r="41" spans="1:9" ht="28.8">
      <c r="A41" s="8" t="s">
        <v>125</v>
      </c>
      <c r="B41" s="8" t="s">
        <v>74</v>
      </c>
      <c r="C41" s="8" t="s">
        <v>13</v>
      </c>
      <c r="D41" s="8" t="s">
        <v>75</v>
      </c>
      <c r="E41" s="8">
        <v>9</v>
      </c>
      <c r="F41" s="8">
        <v>1350</v>
      </c>
      <c r="G41" s="8" t="s">
        <v>45</v>
      </c>
      <c r="H41" s="8" t="s">
        <v>97</v>
      </c>
      <c r="I41" s="8">
        <v>3</v>
      </c>
    </row>
    <row r="42" spans="1:9" ht="28.8">
      <c r="A42" s="8" t="s">
        <v>126</v>
      </c>
      <c r="B42" s="8" t="s">
        <v>69</v>
      </c>
      <c r="C42" s="8" t="s">
        <v>15</v>
      </c>
      <c r="D42" s="8" t="s">
        <v>28</v>
      </c>
      <c r="E42" s="8">
        <v>13</v>
      </c>
      <c r="F42" s="8">
        <v>11700</v>
      </c>
      <c r="G42" s="8" t="s">
        <v>72</v>
      </c>
      <c r="H42" s="8" t="s">
        <v>101</v>
      </c>
      <c r="I42" s="8">
        <v>5</v>
      </c>
    </row>
    <row r="43" spans="1:9">
      <c r="A43" s="8" t="s">
        <v>127</v>
      </c>
      <c r="B43" s="8" t="s">
        <v>79</v>
      </c>
      <c r="C43" s="8" t="s">
        <v>14</v>
      </c>
      <c r="D43" s="8" t="s">
        <v>31</v>
      </c>
      <c r="E43" s="8">
        <v>10</v>
      </c>
      <c r="F43" s="8">
        <v>4500</v>
      </c>
      <c r="G43" s="8" t="s">
        <v>45</v>
      </c>
      <c r="H43" s="8" t="s">
        <v>105</v>
      </c>
      <c r="I43" s="8">
        <v>4</v>
      </c>
    </row>
    <row r="44" spans="1:9" ht="28.8">
      <c r="A44" s="8" t="s">
        <v>128</v>
      </c>
      <c r="B44" s="8" t="s">
        <v>82</v>
      </c>
      <c r="C44" s="8" t="s">
        <v>16</v>
      </c>
      <c r="D44" s="8" t="s">
        <v>30</v>
      </c>
      <c r="E44" s="8">
        <v>5</v>
      </c>
      <c r="F44" s="8">
        <v>1500</v>
      </c>
      <c r="G44" s="8" t="s">
        <v>76</v>
      </c>
      <c r="H44" s="8" t="s">
        <v>109</v>
      </c>
      <c r="I44" s="8">
        <v>3</v>
      </c>
    </row>
    <row r="45" spans="1:9" ht="28.8">
      <c r="A45" s="8" t="s">
        <v>129</v>
      </c>
      <c r="B45" s="8" t="s">
        <v>74</v>
      </c>
      <c r="C45" s="8" t="s">
        <v>13</v>
      </c>
      <c r="D45" s="8" t="s">
        <v>28</v>
      </c>
      <c r="E45" s="8">
        <v>12</v>
      </c>
      <c r="F45" s="8">
        <v>9600</v>
      </c>
      <c r="G45" s="8" t="s">
        <v>45</v>
      </c>
      <c r="H45" s="8" t="s">
        <v>114</v>
      </c>
      <c r="I45" s="8">
        <v>4</v>
      </c>
    </row>
    <row r="46" spans="1:9">
      <c r="A46" s="8" t="s">
        <v>130</v>
      </c>
      <c r="B46" s="8" t="s">
        <v>69</v>
      </c>
      <c r="C46" s="8" t="s">
        <v>15</v>
      </c>
      <c r="D46" s="8" t="s">
        <v>27</v>
      </c>
      <c r="E46" s="8">
        <v>11</v>
      </c>
      <c r="F46" s="8">
        <v>3850</v>
      </c>
      <c r="G46" s="8" t="s">
        <v>72</v>
      </c>
      <c r="H46" s="8" t="s">
        <v>70</v>
      </c>
      <c r="I46" s="8">
        <v>5</v>
      </c>
    </row>
    <row r="47" spans="1:9" ht="28.8">
      <c r="A47" s="8" t="s">
        <v>131</v>
      </c>
      <c r="B47" s="8" t="s">
        <v>79</v>
      </c>
      <c r="C47" s="8" t="s">
        <v>14</v>
      </c>
      <c r="D47" s="8" t="s">
        <v>75</v>
      </c>
      <c r="E47" s="8">
        <v>9</v>
      </c>
      <c r="F47" s="8">
        <v>1350</v>
      </c>
      <c r="G47" s="8" t="s">
        <v>45</v>
      </c>
      <c r="H47" s="8" t="s">
        <v>77</v>
      </c>
      <c r="I47" s="8">
        <v>4</v>
      </c>
    </row>
    <row r="48" spans="1:9">
      <c r="A48" s="8" t="s">
        <v>132</v>
      </c>
      <c r="B48" s="8" t="s">
        <v>82</v>
      </c>
      <c r="C48" s="8" t="s">
        <v>16</v>
      </c>
      <c r="D48" s="8" t="s">
        <v>28</v>
      </c>
      <c r="E48" s="8">
        <v>8</v>
      </c>
      <c r="F48" s="8">
        <v>6000</v>
      </c>
      <c r="G48" s="8" t="s">
        <v>72</v>
      </c>
      <c r="H48" s="8" t="s">
        <v>80</v>
      </c>
      <c r="I48" s="8">
        <v>3</v>
      </c>
    </row>
    <row r="49" spans="1:9">
      <c r="A49" s="8" t="s">
        <v>133</v>
      </c>
      <c r="B49" s="8" t="s">
        <v>74</v>
      </c>
      <c r="C49" s="8" t="s">
        <v>13</v>
      </c>
      <c r="D49" s="8" t="s">
        <v>30</v>
      </c>
      <c r="E49" s="8">
        <v>10</v>
      </c>
      <c r="F49" s="8">
        <v>3000</v>
      </c>
      <c r="G49" s="8" t="s">
        <v>45</v>
      </c>
      <c r="H49" s="8" t="s">
        <v>84</v>
      </c>
      <c r="I49" s="8">
        <v>4</v>
      </c>
    </row>
    <row r="50" spans="1:9">
      <c r="A50" s="8" t="s">
        <v>134</v>
      </c>
      <c r="B50" s="8" t="s">
        <v>69</v>
      </c>
      <c r="C50" s="8" t="s">
        <v>14</v>
      </c>
      <c r="D50" s="8" t="s">
        <v>27</v>
      </c>
      <c r="E50" s="8">
        <v>14</v>
      </c>
      <c r="F50" s="8">
        <v>4900</v>
      </c>
      <c r="G50" s="8" t="s">
        <v>76</v>
      </c>
      <c r="H50" s="8" t="s">
        <v>37</v>
      </c>
      <c r="I50" s="8">
        <v>5</v>
      </c>
    </row>
    <row r="51" spans="1:9">
      <c r="A51" s="8" t="s">
        <v>135</v>
      </c>
      <c r="B51" s="8" t="s">
        <v>79</v>
      </c>
      <c r="C51" s="8" t="s">
        <v>15</v>
      </c>
      <c r="D51" s="8" t="s">
        <v>28</v>
      </c>
      <c r="E51" s="8">
        <v>11</v>
      </c>
      <c r="F51" s="8">
        <v>9900</v>
      </c>
      <c r="G51" s="8" t="s">
        <v>45</v>
      </c>
      <c r="H51" s="8" t="s">
        <v>90</v>
      </c>
      <c r="I51" s="8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Sheet2</vt:lpstr>
      <vt:lpstr>Sheet1</vt:lpstr>
      <vt:lpstr>Sheet3</vt:lpstr>
      <vt:lpstr>Category</vt:lpstr>
      <vt:lpstr>Customer_Segment</vt:lpstr>
      <vt:lpstr>Discount</vt:lpstr>
      <vt:lpstr>ID</vt:lpstr>
      <vt:lpstr>Month</vt:lpstr>
      <vt:lpstr>Product</vt:lpstr>
      <vt:lpstr>Rating</vt:lpstr>
      <vt:lpstr>Region</vt:lpstr>
      <vt:lpstr>Remarks</vt:lpstr>
      <vt:lpstr>Revenue</vt:lpstr>
      <vt:lpstr>SalesData</vt:lpstr>
      <vt:lpstr>Salesperson</vt:lpstr>
      <vt:lpstr>Unit_Price</vt:lpstr>
      <vt:lpstr>Units_Sold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2025-10-28T02:30:43Z</dcterms:created>
  <dcterms:modified xsi:type="dcterms:W3CDTF">2025-10-30T02:56:53Z</dcterms:modified>
</cp:coreProperties>
</file>